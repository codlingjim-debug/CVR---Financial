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enario Paths" sheetId="2" state="visible" r:id="rId2"/>
    <sheet xmlns:r="http://schemas.openxmlformats.org/officeDocument/2006/relationships" name="Drivers" sheetId="3" state="visible" r:id="rId3"/>
    <sheet xmlns:r="http://schemas.openxmlformats.org/officeDocument/2006/relationships" name="Forecast P&amp;L" sheetId="4" state="visible" r:id="rId4"/>
    <sheet xmlns:r="http://schemas.openxmlformats.org/officeDocument/2006/relationships" name="vs Budget" sheetId="5" state="visible" r:id="rId5"/>
    <sheet xmlns:r="http://schemas.openxmlformats.org/officeDocument/2006/relationships" name="Cash &amp; Note" sheetId="6" state="visible" r:id="rId6"/>
    <sheet xmlns:r="http://schemas.openxmlformats.org/officeDocument/2006/relationships" name="Backlog &amp; Pipeline" sheetId="7" state="visible" r:id="rId7"/>
    <sheet xmlns:r="http://schemas.openxmlformats.org/officeDocument/2006/relationships" name="FY Summary" sheetId="8" state="visible" r:id="rId8"/>
    <sheet xmlns:r="http://schemas.openxmlformats.org/officeDocument/2006/relationships" name="EPC At-Scale Model" sheetId="9" state="visible" r:id="rId9"/>
    <sheet xmlns:r="http://schemas.openxmlformats.org/officeDocument/2006/relationships" name="Checks" sheetId="10" state="visible" r:id="rId10"/>
    <sheet xmlns:r="http://schemas.openxmlformats.org/officeDocument/2006/relationships" name="Coverage Char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"/>
    <numFmt numFmtId="166" formatCode="&quot;$&quot;#,##0.00"/>
    <numFmt numFmtId="167" formatCode="#,##0.0;(#,##0.0)"/>
    <numFmt numFmtId="168" formatCode="$#,##0.00;($#,##0.00)"/>
    <numFmt numFmtId="169" formatCode="0.0&quot;×&quot;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1F3864"/>
    </font>
    <font>
      <b val="1"/>
      <color rgb="00FFFFFF"/>
    </font>
    <font>
      <color rgb="000070C0"/>
    </font>
    <font/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1" fontId="5" fillId="0" borderId="1" pivotButton="0" quotePrefix="0" xfId="0"/>
    <xf numFmtId="0" fontId="6" fillId="0" borderId="0" pivotButton="0" quotePrefix="0" xfId="0"/>
    <xf numFmtId="164" fontId="5" fillId="0" borderId="1" pivotButton="0" quotePrefix="0" xfId="0"/>
    <xf numFmtId="0" fontId="5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166" fontId="5" fillId="0" borderId="1" pivotButton="0" quotePrefix="0" xfId="0"/>
    <xf numFmtId="0" fontId="2" fillId="0" borderId="1" pivotButton="0" quotePrefix="0" xfId="0"/>
    <xf numFmtId="3" fontId="5" fillId="0" borderId="1" pivotButton="0" quotePrefix="0" xfId="0"/>
    <xf numFmtId="10" fontId="5" fillId="0" borderId="1" pivotButton="0" quotePrefix="0" xfId="0"/>
    <xf numFmtId="2" fontId="5" fillId="0" borderId="1" pivotButton="0" quotePrefix="0" xfId="0"/>
    <xf numFmtId="3" fontId="0" fillId="0" borderId="1" pivotButton="0" quotePrefix="0" xfId="0"/>
    <xf numFmtId="3" fontId="0" fillId="3" borderId="1" pivotButton="0" quotePrefix="0" xfId="0"/>
    <xf numFmtId="167" fontId="0" fillId="0" borderId="1" pivotButton="0" quotePrefix="0" xfId="0"/>
    <xf numFmtId="167" fontId="0" fillId="3" borderId="1" pivotButton="0" quotePrefix="0" xfId="0"/>
    <xf numFmtId="164" fontId="0" fillId="0" borderId="0" pivotButton="0" quotePrefix="0" xfId="0"/>
    <xf numFmtId="0" fontId="3" fillId="0" borderId="1" pivotButton="0" quotePrefix="0" xfId="0"/>
    <xf numFmtId="167" fontId="3" fillId="0" borderId="1" pivotButton="0" quotePrefix="0" xfId="0"/>
    <xf numFmtId="167" fontId="3" fillId="3" borderId="0" pivotButton="0" quotePrefix="0" xfId="0"/>
    <xf numFmtId="167" fontId="0" fillId="0" borderId="0" pivotButton="0" quotePrefix="0" xfId="0"/>
    <xf numFmtId="168" fontId="5" fillId="0" borderId="1" pivotButton="0" quotePrefix="0" xfId="0"/>
    <xf numFmtId="168" fontId="0" fillId="0" borderId="1" pivotButton="0" quotePrefix="0" xfId="0"/>
    <xf numFmtId="164" fontId="2" fillId="0" borderId="0" pivotButton="0" quotePrefix="0" xfId="0"/>
    <xf numFmtId="168" fontId="3" fillId="0" borderId="1" pivotButton="0" quotePrefix="0" xfId="0"/>
    <xf numFmtId="168" fontId="3" fillId="3" borderId="1" pivotButton="0" quotePrefix="0" xfId="0"/>
    <xf numFmtId="169" fontId="3" fillId="0" borderId="1" pivotButton="0" quotePrefix="0" xfId="0"/>
    <xf numFmtId="164" fontId="3" fillId="0" borderId="1" pivotButton="0" quotePrefix="0" xfId="0"/>
    <xf numFmtId="164" fontId="3" fillId="0" borderId="0" pivotButton="0" quotePrefix="0" xfId="0"/>
    <xf numFmtId="167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Forecast revenue vs booked backlog + weighted pipeline ($K/month)</a:t>
            </a:r>
          </a:p>
        </rich>
      </tx>
    </title>
    <plotArea>
      <areaChart>
        <grouping val="stacked"/>
        <ser>
          <idx val="0"/>
          <order val="0"/>
          <tx>
            <strRef>
              <f>'Coverage Chart'!A35</f>
            </strRef>
          </tx>
          <spPr>
            <a:solidFill xmlns:a="http://schemas.openxmlformats.org/drawingml/2006/main">
              <a:srgbClr val="9EC5F4"/>
            </a:solidFill>
            <a:ln xmlns:a="http://schemas.openxmlformats.org/drawingml/2006/main">
              <a:prstDash val="solid"/>
            </a:ln>
          </spPr>
          <cat>
            <numRef>
              <f>'Coverage Chart'!$B$24:$S$24</f>
            </numRef>
          </cat>
          <val>
            <numRef>
              <f>'Coverage Chart'!$B$35:$S$35</f>
            </numRef>
          </val>
        </ser>
        <ser>
          <idx val="1"/>
          <order val="1"/>
          <tx>
            <strRef>
              <f>'Coverage Chart'!A40</f>
            </strRef>
          </tx>
          <spPr>
            <a:solidFill xmlns:a="http://schemas.openxmlformats.org/drawingml/2006/main">
              <a:srgbClr val="CDE2FB"/>
            </a:solidFill>
            <a:ln xmlns:a="http://schemas.openxmlformats.org/drawingml/2006/main">
              <a:prstDash val="solid"/>
            </a:ln>
          </spPr>
          <cat>
            <numRef>
              <f>'Coverage Chart'!$B$24:$S$24</f>
            </numRef>
          </cat>
          <val>
            <numRef>
              <f>'Coverage Chart'!$B$40:$S$40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'Coverage Chart'!A41</f>
            </strRef>
          </tx>
          <spPr>
            <a:ln xmlns:a="http://schemas.openxmlformats.org/drawingml/2006/main" w="280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'Coverage Chart'!$B$24:$S$24</f>
            </numRef>
          </cat>
          <val>
            <numRef>
              <f>'Coverage Chart'!$B$41:$S$41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5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$K per month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250"/>
          <min val="0"/>
        </scaling>
        <delete val="1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CVR Engineering — Phase 2 Forecast Model (Jul 2026 – Dec 2027)</t>
        </is>
      </c>
    </row>
    <row r="2">
      <c r="A2" s="2" t="inlineStr">
        <is>
          <t>Generated by scripts/build_phase2_workbook.py. Companion to CVR_Model_Phase1_Baseline.xlsx.</t>
        </is>
      </c>
    </row>
    <row r="3">
      <c r="A3" t="inlineStr"/>
    </row>
    <row r="4">
      <c r="A4" s="3" t="inlineStr">
        <is>
          <t>WHAT THIS IS</t>
        </is>
      </c>
    </row>
    <row r="5">
      <c r="A5" t="inlineStr">
        <is>
          <t>A driver-based re-forecast built from the Phase 1 baseline. It does NOT adopt the official 2026</t>
        </is>
      </c>
    </row>
    <row r="6">
      <c r="A6" t="inlineStr">
        <is>
          <t>budget as the base case (H1 came in 46% under it); the budget appears as a comparison line instead.</t>
        </is>
      </c>
    </row>
    <row r="7">
      <c r="A7" t="inlineStr">
        <is>
          <t>Every output shows three views: Actual (H1), Budget (official), Forecast (driver-based).</t>
        </is>
      </c>
    </row>
    <row r="8">
      <c r="A8" t="inlineStr"/>
    </row>
    <row r="9">
      <c r="A9" s="3" t="inlineStr">
        <is>
          <t>HOW THE ENGINE WORKS</t>
        </is>
      </c>
    </row>
    <row r="10">
      <c r="A10" t="inlineStr">
        <is>
          <t xml:space="preserve">  Revenue      = FTE × 173.33 hrs/mo × utilization × blended card rate × realization</t>
        </is>
      </c>
    </row>
    <row r="11">
      <c r="A11" t="inlineStr">
        <is>
          <t xml:space="preserve">  Direct labor = FTE × avg wage/mo × direct-charge share (GL convention, ~92%)</t>
        </is>
      </c>
    </row>
    <row r="12">
      <c r="A12" t="inlineStr">
        <is>
          <t xml:space="preserve">  Burden 33.8% of wages · other OpEx at H1 run rate · overhead $17,250/mo · interest on parent note</t>
        </is>
      </c>
    </row>
    <row r="13">
      <c r="A13" t="inlineStr">
        <is>
          <t xml:space="preserve">  Cash: AR at DSO days of revenue; every operating dollar draws on / repays the USC parent note.</t>
        </is>
      </c>
    </row>
    <row r="14">
      <c r="A14" t="inlineStr"/>
    </row>
    <row r="15">
      <c r="A15" s="3" t="inlineStr">
        <is>
          <t>TABS</t>
        </is>
      </c>
    </row>
    <row r="16">
      <c r="A16" t="inlineStr">
        <is>
          <t xml:space="preserve">  Drivers            — scenario selector (1=Base 2=Upside 3=Downside) + scalar inputs (blue).</t>
        </is>
      </c>
    </row>
    <row r="17">
      <c r="A17" t="inlineStr">
        <is>
          <t xml:space="preserve">  Scenario Paths     — the three monthly paths for FTE, utilization, realization. Edit to taste.</t>
        </is>
      </c>
    </row>
    <row r="18">
      <c r="A18" t="inlineStr">
        <is>
          <t xml:space="preserve">  Forecast P&amp;L       — monthly engine output with H2-2026 and FY-2027 subtotals.</t>
        </is>
      </c>
    </row>
    <row r="19">
      <c r="A19" t="inlineStr">
        <is>
          <t xml:space="preserve">  vs Budget          — forecast vs finance's 2026 monthly budget, line by line (H2-2026).</t>
        </is>
      </c>
    </row>
    <row r="20">
      <c r="A20" t="inlineStr">
        <is>
          <t xml:space="preserve">  Cash &amp; Note        — AR, operating cash, and the parent-note roll-forward (funds every deficit).</t>
        </is>
      </c>
    </row>
    <row r="21">
      <c r="A21" t="inlineStr">
        <is>
          <t xml:space="preserve">  Backlog &amp; Pipeline — remaining value on active jobs + probability-weighted bids; coverage check.</t>
        </is>
      </c>
    </row>
    <row r="22">
      <c r="A22" t="inlineStr">
        <is>
          <t xml:space="preserve">  FY Summary         — FY2026 landing (H1 actual + H2 forecast) vs budget; FY2027 vs the $6M goal.</t>
        </is>
      </c>
    </row>
    <row r="23">
      <c r="A23" t="inlineStr">
        <is>
          <t xml:space="preserve">  EPC At-Scale Model — revised business model: CVR earns engineering + material margin on a $150M/yr EPC program</t>
        </is>
      </c>
    </row>
    <row r="24">
      <c r="A24" t="inlineStr">
        <is>
          <t xml:space="preserve">                       (steady-state illustration; HWC keeps equipment + labor margin).</t>
        </is>
      </c>
    </row>
    <row r="25">
      <c r="A25" t="inlineStr">
        <is>
          <t xml:space="preserve">  Checks             — anchors to the GL baseline and internal integrity checks.</t>
        </is>
      </c>
    </row>
    <row r="26">
      <c r="A26" t="inlineStr">
        <is>
          <t xml:space="preserve">  Coverage Chart     — native chart: forecast line vs backlog + pipeline areas, with a 1/0 toggle</t>
        </is>
      </c>
    </row>
    <row r="27">
      <c r="A27" t="inlineStr">
        <is>
          <t xml:space="preserve">                       cell (B3) that includes or excludes the weighted pipeline live.</t>
        </is>
      </c>
    </row>
    <row r="28">
      <c r="A28" t="inlineStr"/>
    </row>
    <row r="29">
      <c r="A29" s="3" t="inlineStr">
        <is>
          <t>COLOR KEY: blue = input · black = calculated · orange italics = assumption to confirm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Scenario Paths — monthly driver values</t>
        </is>
      </c>
    </row>
    <row r="2">
      <c r="A2" s="2" t="inlineStr">
        <is>
          <t>Three preset paths per driver. The Drivers tab selector picks the active row. All cells editable (blue).</t>
        </is>
      </c>
    </row>
    <row r="4">
      <c r="A4" s="4" t="inlineStr">
        <is>
          <t>Path</t>
        </is>
      </c>
      <c r="B4" s="4" t="inlineStr">
        <is>
          <t>Jul-26</t>
        </is>
      </c>
      <c r="C4" s="4" t="inlineStr">
        <is>
          <t>Aug-26</t>
        </is>
      </c>
      <c r="D4" s="4" t="inlineStr">
        <is>
          <t>Sep-26</t>
        </is>
      </c>
      <c r="E4" s="4" t="inlineStr">
        <is>
          <t>Oct-26</t>
        </is>
      </c>
      <c r="F4" s="4" t="inlineStr">
        <is>
          <t>Nov-26</t>
        </is>
      </c>
      <c r="G4" s="4" t="inlineStr">
        <is>
          <t>Dec-26</t>
        </is>
      </c>
      <c r="H4" s="4" t="inlineStr">
        <is>
          <t>Jan-27</t>
        </is>
      </c>
      <c r="I4" s="4" t="inlineStr">
        <is>
          <t>Feb-27</t>
        </is>
      </c>
      <c r="J4" s="4" t="inlineStr">
        <is>
          <t>Mar-27</t>
        </is>
      </c>
      <c r="K4" s="4" t="inlineStr">
        <is>
          <t>Apr-27</t>
        </is>
      </c>
      <c r="L4" s="4" t="inlineStr">
        <is>
          <t>May-27</t>
        </is>
      </c>
      <c r="M4" s="4" t="inlineStr">
        <is>
          <t>Jun-27</t>
        </is>
      </c>
      <c r="N4" s="4" t="inlineStr">
        <is>
          <t>Jul-27</t>
        </is>
      </c>
      <c r="O4" s="4" t="inlineStr">
        <is>
          <t>Aug-27</t>
        </is>
      </c>
      <c r="P4" s="4" t="inlineStr">
        <is>
          <t>Sep-27</t>
        </is>
      </c>
      <c r="Q4" s="4" t="inlineStr">
        <is>
          <t>Oct-27</t>
        </is>
      </c>
      <c r="R4" s="4" t="inlineStr">
        <is>
          <t>Nov-27</t>
        </is>
      </c>
      <c r="S4" s="4" t="inlineStr">
        <is>
          <t>Dec-27</t>
        </is>
      </c>
    </row>
    <row r="5">
      <c r="A5" s="3" t="inlineStr">
        <is>
          <t>FTE — Base</t>
        </is>
      </c>
      <c r="B5" s="5" t="n">
        <v>10</v>
      </c>
      <c r="C5" s="5" t="n">
        <v>10</v>
      </c>
      <c r="D5" s="5" t="n">
        <v>10</v>
      </c>
      <c r="E5" s="5" t="n">
        <v>11</v>
      </c>
      <c r="F5" s="5" t="n">
        <v>11</v>
      </c>
      <c r="G5" s="5" t="n">
        <v>11</v>
      </c>
      <c r="H5" s="5" t="n">
        <v>12</v>
      </c>
      <c r="I5" s="5" t="n">
        <v>12</v>
      </c>
      <c r="J5" s="5" t="n">
        <v>12</v>
      </c>
      <c r="K5" s="5" t="n">
        <v>12</v>
      </c>
      <c r="L5" s="5" t="n">
        <v>12</v>
      </c>
      <c r="M5" s="5" t="n">
        <v>13</v>
      </c>
      <c r="N5" s="5" t="n">
        <v>13</v>
      </c>
      <c r="O5" s="5" t="n">
        <v>13</v>
      </c>
      <c r="P5" s="5" t="n">
        <v>13</v>
      </c>
      <c r="Q5" s="5" t="n">
        <v>13</v>
      </c>
      <c r="R5" s="5" t="n">
        <v>13</v>
      </c>
      <c r="S5" s="5" t="n">
        <v>13</v>
      </c>
    </row>
    <row r="6">
      <c r="A6" s="6" t="inlineStr">
        <is>
          <t>FTE — Upside</t>
        </is>
      </c>
      <c r="B6" s="5" t="n">
        <v>10</v>
      </c>
      <c r="C6" s="5" t="n">
        <v>11</v>
      </c>
      <c r="D6" s="5" t="n">
        <v>11</v>
      </c>
      <c r="E6" s="5" t="n">
        <v>12</v>
      </c>
      <c r="F6" s="5" t="n">
        <v>12</v>
      </c>
      <c r="G6" s="5" t="n">
        <v>13</v>
      </c>
      <c r="H6" s="5" t="n">
        <v>13</v>
      </c>
      <c r="I6" s="5" t="n">
        <v>14</v>
      </c>
      <c r="J6" s="5" t="n">
        <v>14</v>
      </c>
      <c r="K6" s="5" t="n">
        <v>15</v>
      </c>
      <c r="L6" s="5" t="n">
        <v>15</v>
      </c>
      <c r="M6" s="5" t="n">
        <v>15</v>
      </c>
      <c r="N6" s="5" t="n">
        <v>16</v>
      </c>
      <c r="O6" s="5" t="n">
        <v>16</v>
      </c>
      <c r="P6" s="5" t="n">
        <v>16</v>
      </c>
      <c r="Q6" s="5" t="n">
        <v>16</v>
      </c>
      <c r="R6" s="5" t="n">
        <v>16</v>
      </c>
      <c r="S6" s="5" t="n">
        <v>16</v>
      </c>
    </row>
    <row r="7">
      <c r="A7" s="6" t="inlineStr">
        <is>
          <t>FTE — Downside</t>
        </is>
      </c>
      <c r="B7" s="5" t="n">
        <v>10</v>
      </c>
      <c r="C7" s="5" t="n">
        <v>10</v>
      </c>
      <c r="D7" s="5" t="n">
        <v>10</v>
      </c>
      <c r="E7" s="5" t="n">
        <v>10</v>
      </c>
      <c r="F7" s="5" t="n">
        <v>10</v>
      </c>
      <c r="G7" s="5" t="n">
        <v>10</v>
      </c>
      <c r="H7" s="5" t="n">
        <v>10</v>
      </c>
      <c r="I7" s="5" t="n">
        <v>10</v>
      </c>
      <c r="J7" s="5" t="n">
        <v>10</v>
      </c>
      <c r="K7" s="5" t="n">
        <v>10</v>
      </c>
      <c r="L7" s="5" t="n">
        <v>10</v>
      </c>
      <c r="M7" s="5" t="n">
        <v>10</v>
      </c>
      <c r="N7" s="5" t="n">
        <v>10</v>
      </c>
      <c r="O7" s="5" t="n">
        <v>10</v>
      </c>
      <c r="P7" s="5" t="n">
        <v>10</v>
      </c>
      <c r="Q7" s="5" t="n">
        <v>10</v>
      </c>
      <c r="R7" s="5" t="n">
        <v>10</v>
      </c>
      <c r="S7" s="5" t="n">
        <v>10</v>
      </c>
    </row>
    <row r="9">
      <c r="A9" s="3" t="inlineStr">
        <is>
          <t>Utilization — Base</t>
        </is>
      </c>
      <c r="B9" s="7" t="n">
        <v>0.6</v>
      </c>
      <c r="C9" s="7" t="n">
        <v>0.61</v>
      </c>
      <c r="D9" s="7" t="n">
        <v>0.62</v>
      </c>
      <c r="E9" s="7" t="n">
        <v>0.63</v>
      </c>
      <c r="F9" s="7" t="n">
        <v>0.64</v>
      </c>
      <c r="G9" s="7" t="n">
        <v>0.65</v>
      </c>
      <c r="H9" s="7" t="n">
        <v>0.66</v>
      </c>
      <c r="I9" s="7" t="n">
        <v>0.67</v>
      </c>
      <c r="J9" s="7" t="n">
        <v>0.68</v>
      </c>
      <c r="K9" s="7" t="n">
        <v>0.6899999999999999</v>
      </c>
      <c r="L9" s="7" t="n">
        <v>0.7</v>
      </c>
      <c r="M9" s="7" t="n">
        <v>0.7</v>
      </c>
      <c r="N9" s="7" t="n">
        <v>0.7</v>
      </c>
      <c r="O9" s="7" t="n">
        <v>0.7</v>
      </c>
      <c r="P9" s="7" t="n">
        <v>0.7</v>
      </c>
      <c r="Q9" s="7" t="n">
        <v>0.7</v>
      </c>
      <c r="R9" s="7" t="n">
        <v>0.7</v>
      </c>
      <c r="S9" s="7" t="n">
        <v>0.7</v>
      </c>
    </row>
    <row r="10">
      <c r="A10" s="6" t="inlineStr">
        <is>
          <t>Utilization — Upside</t>
        </is>
      </c>
      <c r="B10" s="7" t="n">
        <v>0.62</v>
      </c>
      <c r="C10" s="7" t="n">
        <v>0.64</v>
      </c>
      <c r="D10" s="7" t="n">
        <v>0.66</v>
      </c>
      <c r="E10" s="7" t="n">
        <v>0.68</v>
      </c>
      <c r="F10" s="7" t="n">
        <v>0.7</v>
      </c>
      <c r="G10" s="7" t="n">
        <v>0.71</v>
      </c>
      <c r="H10" s="7" t="n">
        <v>0.72</v>
      </c>
      <c r="I10" s="7" t="n">
        <v>0.73</v>
      </c>
      <c r="J10" s="7" t="n">
        <v>0.74</v>
      </c>
      <c r="K10" s="7" t="n">
        <v>0.75</v>
      </c>
      <c r="L10" s="7" t="n">
        <v>0.75</v>
      </c>
      <c r="M10" s="7" t="n">
        <v>0.75</v>
      </c>
      <c r="N10" s="7" t="n">
        <v>0.75</v>
      </c>
      <c r="O10" s="7" t="n">
        <v>0.75</v>
      </c>
      <c r="P10" s="7" t="n">
        <v>0.75</v>
      </c>
      <c r="Q10" s="7" t="n">
        <v>0.75</v>
      </c>
      <c r="R10" s="7" t="n">
        <v>0.75</v>
      </c>
      <c r="S10" s="7" t="n">
        <v>0.75</v>
      </c>
    </row>
    <row r="11">
      <c r="A11" s="6" t="inlineStr">
        <is>
          <t>Utilization — Downside</t>
        </is>
      </c>
      <c r="B11" s="7" t="n">
        <v>0.59</v>
      </c>
      <c r="C11" s="7" t="n">
        <v>0.59</v>
      </c>
      <c r="D11" s="7" t="n">
        <v>0.59</v>
      </c>
      <c r="E11" s="7" t="n">
        <v>0.59</v>
      </c>
      <c r="F11" s="7" t="n">
        <v>0.59</v>
      </c>
      <c r="G11" s="7" t="n">
        <v>0.59</v>
      </c>
      <c r="H11" s="7" t="n">
        <v>0.6</v>
      </c>
      <c r="I11" s="7" t="n">
        <v>0.6</v>
      </c>
      <c r="J11" s="7" t="n">
        <v>0.6</v>
      </c>
      <c r="K11" s="7" t="n">
        <v>0.6</v>
      </c>
      <c r="L11" s="7" t="n">
        <v>0.6</v>
      </c>
      <c r="M11" s="7" t="n">
        <v>0.6</v>
      </c>
      <c r="N11" s="7" t="n">
        <v>0.6</v>
      </c>
      <c r="O11" s="7" t="n">
        <v>0.6</v>
      </c>
      <c r="P11" s="7" t="n">
        <v>0.6</v>
      </c>
      <c r="Q11" s="7" t="n">
        <v>0.6</v>
      </c>
      <c r="R11" s="7" t="n">
        <v>0.6</v>
      </c>
      <c r="S11" s="7" t="n">
        <v>0.6</v>
      </c>
    </row>
    <row r="13">
      <c r="A13" s="3" t="inlineStr">
        <is>
          <t>Realization — Base</t>
        </is>
      </c>
      <c r="B13" s="7" t="n">
        <v>0.8</v>
      </c>
      <c r="C13" s="7" t="n">
        <v>0.8100000000000001</v>
      </c>
      <c r="D13" s="7" t="n">
        <v>0.82</v>
      </c>
      <c r="E13" s="7" t="n">
        <v>0.83</v>
      </c>
      <c r="F13" s="7" t="n">
        <v>0.84</v>
      </c>
      <c r="G13" s="7" t="n">
        <v>0.85</v>
      </c>
      <c r="H13" s="7" t="n">
        <v>0.86</v>
      </c>
      <c r="I13" s="7" t="n">
        <v>0.87</v>
      </c>
      <c r="J13" s="7" t="n">
        <v>0.88</v>
      </c>
      <c r="K13" s="7" t="n">
        <v>0.89</v>
      </c>
      <c r="L13" s="7" t="n">
        <v>0.9</v>
      </c>
      <c r="M13" s="7" t="n">
        <v>0.9</v>
      </c>
      <c r="N13" s="7" t="n">
        <v>0.9</v>
      </c>
      <c r="O13" s="7" t="n">
        <v>0.9</v>
      </c>
      <c r="P13" s="7" t="n">
        <v>0.9</v>
      </c>
      <c r="Q13" s="7" t="n">
        <v>0.9</v>
      </c>
      <c r="R13" s="7" t="n">
        <v>0.9</v>
      </c>
      <c r="S13" s="7" t="n">
        <v>0.9</v>
      </c>
    </row>
    <row r="14">
      <c r="A14" s="6" t="inlineStr">
        <is>
          <t>Realization — Upside</t>
        </is>
      </c>
      <c r="B14" s="7" t="n">
        <v>0.82</v>
      </c>
      <c r="C14" s="7" t="n">
        <v>0.84</v>
      </c>
      <c r="D14" s="7" t="n">
        <v>0.86</v>
      </c>
      <c r="E14" s="7" t="n">
        <v>0.88</v>
      </c>
      <c r="F14" s="7" t="n">
        <v>0.9</v>
      </c>
      <c r="G14" s="7" t="n">
        <v>0.91</v>
      </c>
      <c r="H14" s="7" t="n">
        <v>0.92</v>
      </c>
      <c r="I14" s="7" t="n">
        <v>0.93</v>
      </c>
      <c r="J14" s="7" t="n">
        <v>0.9399999999999999</v>
      </c>
      <c r="K14" s="7" t="n">
        <v>0.95</v>
      </c>
      <c r="L14" s="7" t="n">
        <v>0.95</v>
      </c>
      <c r="M14" s="7" t="n">
        <v>0.95</v>
      </c>
      <c r="N14" s="7" t="n">
        <v>0.95</v>
      </c>
      <c r="O14" s="7" t="n">
        <v>0.95</v>
      </c>
      <c r="P14" s="7" t="n">
        <v>0.95</v>
      </c>
      <c r="Q14" s="7" t="n">
        <v>0.95</v>
      </c>
      <c r="R14" s="7" t="n">
        <v>0.95</v>
      </c>
      <c r="S14" s="7" t="n">
        <v>0.95</v>
      </c>
    </row>
    <row r="15">
      <c r="A15" s="6" t="inlineStr">
        <is>
          <t>Realization — Downside</t>
        </is>
      </c>
      <c r="B15" s="7" t="n">
        <v>0.79</v>
      </c>
      <c r="C15" s="7" t="n">
        <v>0.79</v>
      </c>
      <c r="D15" s="7" t="n">
        <v>0.79</v>
      </c>
      <c r="E15" s="7" t="n">
        <v>0.79</v>
      </c>
      <c r="F15" s="7" t="n">
        <v>0.79</v>
      </c>
      <c r="G15" s="7" t="n">
        <v>0.79</v>
      </c>
      <c r="H15" s="7" t="n">
        <v>0.8</v>
      </c>
      <c r="I15" s="7" t="n">
        <v>0.8</v>
      </c>
      <c r="J15" s="7" t="n">
        <v>0.8</v>
      </c>
      <c r="K15" s="7" t="n">
        <v>0.8</v>
      </c>
      <c r="L15" s="7" t="n">
        <v>0.8</v>
      </c>
      <c r="M15" s="7" t="n">
        <v>0.8</v>
      </c>
      <c r="N15" s="7" t="n">
        <v>0.8</v>
      </c>
      <c r="O15" s="7" t="n">
        <v>0.8</v>
      </c>
      <c r="P15" s="7" t="n">
        <v>0.8</v>
      </c>
      <c r="Q15" s="7" t="n">
        <v>0.8</v>
      </c>
      <c r="R15" s="7" t="n">
        <v>0.8</v>
      </c>
      <c r="S15" s="7" t="n">
        <v>0.8</v>
      </c>
    </row>
    <row r="18">
      <c r="A18" s="2" t="inlineStr">
        <is>
          <t>Base: utilization 59%→70%, realization 79%→90%, 10→13 FTE. Upside: 75% / 95% / 16 FTE. Downside: no improvement, no hires. Hiring lead time and ramp are embedded in the FTE path — a hire contributes a full FTE the month shown.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62" customWidth="1" min="3" max="3"/>
  </cols>
  <sheetData>
    <row r="1">
      <c r="A1" s="1" t="inlineStr">
        <is>
          <t>Drivers</t>
        </is>
      </c>
    </row>
    <row r="2">
      <c r="A2" s="2" t="inlineStr">
        <is>
          <t>Scenario selector (1=Base, 2=Upside, 3=Downside)</t>
        </is>
      </c>
      <c r="B2" s="8" t="n">
        <v>1</v>
      </c>
      <c r="C2" s="3">
        <f>CHOOSE(B2,"BASE","UPSIDE","DOWNSIDE")</f>
        <v/>
      </c>
    </row>
    <row r="5">
      <c r="A5" s="4" t="inlineStr">
        <is>
          <t>($K unless noted)</t>
        </is>
      </c>
      <c r="B5" s="4" t="inlineStr">
        <is>
          <t>Jul-26</t>
        </is>
      </c>
      <c r="C5" s="4" t="inlineStr">
        <is>
          <t>Aug-26</t>
        </is>
      </c>
      <c r="D5" s="4" t="inlineStr">
        <is>
          <t>Sep-26</t>
        </is>
      </c>
      <c r="E5" s="4" t="inlineStr">
        <is>
          <t>Oct-26</t>
        </is>
      </c>
      <c r="F5" s="4" t="inlineStr">
        <is>
          <t>Nov-26</t>
        </is>
      </c>
      <c r="G5" s="4" t="inlineStr">
        <is>
          <t>Dec-26</t>
        </is>
      </c>
      <c r="H5" s="4" t="inlineStr">
        <is>
          <t>Jan-27</t>
        </is>
      </c>
      <c r="I5" s="4" t="inlineStr">
        <is>
          <t>Feb-27</t>
        </is>
      </c>
      <c r="J5" s="4" t="inlineStr">
        <is>
          <t>Mar-27</t>
        </is>
      </c>
      <c r="K5" s="4" t="inlineStr">
        <is>
          <t>Apr-27</t>
        </is>
      </c>
      <c r="L5" s="4" t="inlineStr">
        <is>
          <t>May-27</t>
        </is>
      </c>
      <c r="M5" s="4" t="inlineStr">
        <is>
          <t>Jun-27</t>
        </is>
      </c>
      <c r="N5" s="4" t="inlineStr">
        <is>
          <t>Jul-27</t>
        </is>
      </c>
      <c r="O5" s="4" t="inlineStr">
        <is>
          <t>Aug-27</t>
        </is>
      </c>
      <c r="P5" s="4" t="inlineStr">
        <is>
          <t>Sep-27</t>
        </is>
      </c>
      <c r="Q5" s="4" t="inlineStr">
        <is>
          <t>Oct-27</t>
        </is>
      </c>
      <c r="R5" s="4" t="inlineStr">
        <is>
          <t>Nov-27</t>
        </is>
      </c>
      <c r="S5" s="4" t="inlineStr">
        <is>
          <t>Dec-27</t>
        </is>
      </c>
    </row>
    <row r="6">
      <c r="A6" s="3" t="inlineStr">
        <is>
          <t>FTE (billable roster)</t>
        </is>
      </c>
      <c r="B6" s="9">
        <f>INDEX('Scenario Paths'!B5:B7,$B$2)</f>
        <v/>
      </c>
      <c r="C6" s="9">
        <f>INDEX('Scenario Paths'!C5:C7,$B$2)</f>
        <v/>
      </c>
      <c r="D6" s="9">
        <f>INDEX('Scenario Paths'!D5:D7,$B$2)</f>
        <v/>
      </c>
      <c r="E6" s="9">
        <f>INDEX('Scenario Paths'!E5:E7,$B$2)</f>
        <v/>
      </c>
      <c r="F6" s="9">
        <f>INDEX('Scenario Paths'!F5:F7,$B$2)</f>
        <v/>
      </c>
      <c r="G6" s="9">
        <f>INDEX('Scenario Paths'!G5:G7,$B$2)</f>
        <v/>
      </c>
      <c r="H6" s="9">
        <f>INDEX('Scenario Paths'!H5:H7,$B$2)</f>
        <v/>
      </c>
      <c r="I6" s="9">
        <f>INDEX('Scenario Paths'!I5:I7,$B$2)</f>
        <v/>
      </c>
      <c r="J6" s="9">
        <f>INDEX('Scenario Paths'!J5:J7,$B$2)</f>
        <v/>
      </c>
      <c r="K6" s="9">
        <f>INDEX('Scenario Paths'!K5:K7,$B$2)</f>
        <v/>
      </c>
      <c r="L6" s="9">
        <f>INDEX('Scenario Paths'!L5:L7,$B$2)</f>
        <v/>
      </c>
      <c r="M6" s="9">
        <f>INDEX('Scenario Paths'!M5:M7,$B$2)</f>
        <v/>
      </c>
      <c r="N6" s="9">
        <f>INDEX('Scenario Paths'!N5:N7,$B$2)</f>
        <v/>
      </c>
      <c r="O6" s="9">
        <f>INDEX('Scenario Paths'!O5:O7,$B$2)</f>
        <v/>
      </c>
      <c r="P6" s="9">
        <f>INDEX('Scenario Paths'!P5:P7,$B$2)</f>
        <v/>
      </c>
      <c r="Q6" s="9">
        <f>INDEX('Scenario Paths'!Q5:Q7,$B$2)</f>
        <v/>
      </c>
      <c r="R6" s="9">
        <f>INDEX('Scenario Paths'!R5:R7,$B$2)</f>
        <v/>
      </c>
      <c r="S6" s="9">
        <f>INDEX('Scenario Paths'!S5:S7,$B$2)</f>
        <v/>
      </c>
    </row>
    <row r="7">
      <c r="A7" s="3" t="inlineStr">
        <is>
          <t>Utilization</t>
        </is>
      </c>
      <c r="B7" s="10">
        <f>INDEX('Scenario Paths'!B9:B11,$B$2)</f>
        <v/>
      </c>
      <c r="C7" s="10">
        <f>INDEX('Scenario Paths'!C9:C11,$B$2)</f>
        <v/>
      </c>
      <c r="D7" s="10">
        <f>INDEX('Scenario Paths'!D9:D11,$B$2)</f>
        <v/>
      </c>
      <c r="E7" s="10">
        <f>INDEX('Scenario Paths'!E9:E11,$B$2)</f>
        <v/>
      </c>
      <c r="F7" s="10">
        <f>INDEX('Scenario Paths'!F9:F11,$B$2)</f>
        <v/>
      </c>
      <c r="G7" s="10">
        <f>INDEX('Scenario Paths'!G9:G11,$B$2)</f>
        <v/>
      </c>
      <c r="H7" s="10">
        <f>INDEX('Scenario Paths'!H9:H11,$B$2)</f>
        <v/>
      </c>
      <c r="I7" s="10">
        <f>INDEX('Scenario Paths'!I9:I11,$B$2)</f>
        <v/>
      </c>
      <c r="J7" s="10">
        <f>INDEX('Scenario Paths'!J9:J11,$B$2)</f>
        <v/>
      </c>
      <c r="K7" s="10">
        <f>INDEX('Scenario Paths'!K9:K11,$B$2)</f>
        <v/>
      </c>
      <c r="L7" s="10">
        <f>INDEX('Scenario Paths'!L9:L11,$B$2)</f>
        <v/>
      </c>
      <c r="M7" s="10">
        <f>INDEX('Scenario Paths'!M9:M11,$B$2)</f>
        <v/>
      </c>
      <c r="N7" s="10">
        <f>INDEX('Scenario Paths'!N9:N11,$B$2)</f>
        <v/>
      </c>
      <c r="O7" s="10">
        <f>INDEX('Scenario Paths'!O9:O11,$B$2)</f>
        <v/>
      </c>
      <c r="P7" s="10">
        <f>INDEX('Scenario Paths'!P9:P11,$B$2)</f>
        <v/>
      </c>
      <c r="Q7" s="10">
        <f>INDEX('Scenario Paths'!Q9:Q11,$B$2)</f>
        <v/>
      </c>
      <c r="R7" s="10">
        <f>INDEX('Scenario Paths'!R9:R11,$B$2)</f>
        <v/>
      </c>
      <c r="S7" s="10">
        <f>INDEX('Scenario Paths'!S9:S11,$B$2)</f>
        <v/>
      </c>
    </row>
    <row r="8">
      <c r="A8" s="3" t="inlineStr">
        <is>
          <t>Realization</t>
        </is>
      </c>
      <c r="B8" s="10">
        <f>INDEX('Scenario Paths'!B13:B15,$B$2)</f>
        <v/>
      </c>
      <c r="C8" s="10">
        <f>INDEX('Scenario Paths'!C13:C15,$B$2)</f>
        <v/>
      </c>
      <c r="D8" s="10">
        <f>INDEX('Scenario Paths'!D13:D15,$B$2)</f>
        <v/>
      </c>
      <c r="E8" s="10">
        <f>INDEX('Scenario Paths'!E13:E15,$B$2)</f>
        <v/>
      </c>
      <c r="F8" s="10">
        <f>INDEX('Scenario Paths'!F13:F15,$B$2)</f>
        <v/>
      </c>
      <c r="G8" s="10">
        <f>INDEX('Scenario Paths'!G13:G15,$B$2)</f>
        <v/>
      </c>
      <c r="H8" s="10">
        <f>INDEX('Scenario Paths'!H13:H15,$B$2)</f>
        <v/>
      </c>
      <c r="I8" s="10">
        <f>INDEX('Scenario Paths'!I13:I15,$B$2)</f>
        <v/>
      </c>
      <c r="J8" s="10">
        <f>INDEX('Scenario Paths'!J13:J15,$B$2)</f>
        <v/>
      </c>
      <c r="K8" s="10">
        <f>INDEX('Scenario Paths'!K13:K15,$B$2)</f>
        <v/>
      </c>
      <c r="L8" s="10">
        <f>INDEX('Scenario Paths'!L13:L15,$B$2)</f>
        <v/>
      </c>
      <c r="M8" s="10">
        <f>INDEX('Scenario Paths'!M13:M15,$B$2)</f>
        <v/>
      </c>
      <c r="N8" s="10">
        <f>INDEX('Scenario Paths'!N13:N15,$B$2)</f>
        <v/>
      </c>
      <c r="O8" s="10">
        <f>INDEX('Scenario Paths'!O13:O15,$B$2)</f>
        <v/>
      </c>
      <c r="P8" s="10">
        <f>INDEX('Scenario Paths'!P13:P15,$B$2)</f>
        <v/>
      </c>
      <c r="Q8" s="10">
        <f>INDEX('Scenario Paths'!Q13:Q15,$B$2)</f>
        <v/>
      </c>
      <c r="R8" s="10">
        <f>INDEX('Scenario Paths'!R13:R15,$B$2)</f>
        <v/>
      </c>
      <c r="S8" s="10">
        <f>INDEX('Scenario Paths'!S13:S15,$B$2)</f>
        <v/>
      </c>
    </row>
    <row r="11">
      <c r="A11" s="4" t="inlineStr">
        <is>
          <t>Scalar input</t>
        </is>
      </c>
      <c r="B11" s="4" t="inlineStr">
        <is>
          <t>Value</t>
        </is>
      </c>
      <c r="C11" s="4" t="inlineStr">
        <is>
          <t>Source</t>
        </is>
      </c>
    </row>
    <row r="12">
      <c r="A12" s="11" t="inlineStr">
        <is>
          <t>Blended card rate ($/hr)</t>
        </is>
      </c>
      <c r="B12" s="12" t="n">
        <v>154.47</v>
      </c>
      <c r="C12" s="13" t="inlineStr">
        <is>
          <t>Phase 1 Roster &amp; Hours (mix-weighted)</t>
        </is>
      </c>
    </row>
    <row r="13">
      <c r="A13" s="11" t="inlineStr">
        <is>
          <t>Direct-labor cost / billable hr ($)</t>
        </is>
      </c>
      <c r="B13" s="12" t="n">
        <v>54.89</v>
      </c>
      <c r="C13" s="13" t="inlineStr">
        <is>
          <t>2026 Budget: $779.8K direct labor ÷ 14,205 billable hrs</t>
        </is>
      </c>
    </row>
    <row r="14">
      <c r="A14" s="11" t="inlineStr">
        <is>
          <t>Total loaded labor / FTE-month ($)</t>
        </is>
      </c>
      <c r="B14" s="14" t="n">
        <v>12189</v>
      </c>
      <c r="C14" s="13" t="inlineStr">
        <is>
          <t>2026 Budget: $1.422M total labor cost ÷ 9.72 budget FTE ÷ 12</t>
        </is>
      </c>
    </row>
    <row r="15">
      <c r="A15" s="11" t="inlineStr">
        <is>
          <t>Non-labor OpEx per month ($)</t>
        </is>
      </c>
      <c r="B15" s="14" t="n">
        <v>21748</v>
      </c>
      <c r="C15" s="13" t="inlineStr">
        <is>
          <t>2026 Budget: OpEx less all labor &amp; overhead, monthly</t>
        </is>
      </c>
    </row>
    <row r="16">
      <c r="A16" s="11" t="inlineStr">
        <is>
          <t>Corporate overhead per month ($)</t>
        </is>
      </c>
      <c r="B16" s="14" t="n">
        <v>17250</v>
      </c>
      <c r="C16" s="13" t="inlineStr">
        <is>
          <t>2026 Budget: $207K ÷ 12 (flat)</t>
        </is>
      </c>
    </row>
    <row r="17">
      <c r="A17" s="11" t="inlineStr">
        <is>
          <t>Interest rate on parent note (APR)</t>
        </is>
      </c>
      <c r="B17" s="15" t="n">
        <v>0.0175</v>
      </c>
      <c r="C17" s="13" t="inlineStr">
        <is>
          <t>GL H1: $30.1K ÷ 6 ÷ $3.44M ×12 (budget assumes $0)</t>
        </is>
      </c>
    </row>
    <row r="18">
      <c r="A18" s="11" t="inlineStr">
        <is>
          <t>DSO (days sales outstanding)</t>
        </is>
      </c>
      <c r="B18" s="5" t="n">
        <v>46</v>
      </c>
      <c r="C18" s="13" t="inlineStr">
        <is>
          <t>GL: AR $139.8K vs H1 revenue</t>
        </is>
      </c>
    </row>
    <row r="19">
      <c r="A19" s="11" t="inlineStr">
        <is>
          <t>Available hours per FTE-month</t>
        </is>
      </c>
      <c r="B19" s="16" t="n">
        <v>173.33</v>
      </c>
      <c r="C19" s="13" t="inlineStr">
        <is>
          <t>2,080 ÷ 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11" customWidth="1" min="20" max="20"/>
    <col width="11" customWidth="1" min="21" max="21"/>
  </cols>
  <sheetData>
    <row r="1">
      <c r="A1" s="1" t="inlineStr">
        <is>
          <t>Forecast P&amp;L — monthly, July 2026 – December 2027 (all figures $K)</t>
        </is>
      </c>
    </row>
    <row r="2">
      <c r="A2" s="2" t="inlineStr">
        <is>
          <t>Driven entirely by the Drivers tab. Change the scenario selector or any blue input and this recomputes.</t>
        </is>
      </c>
    </row>
    <row r="4">
      <c r="A4" s="4" t="inlineStr">
        <is>
          <t>($K unless noted)</t>
        </is>
      </c>
      <c r="B4" s="4" t="inlineStr">
        <is>
          <t>Jul-26</t>
        </is>
      </c>
      <c r="C4" s="4" t="inlineStr">
        <is>
          <t>Aug-26</t>
        </is>
      </c>
      <c r="D4" s="4" t="inlineStr">
        <is>
          <t>Sep-26</t>
        </is>
      </c>
      <c r="E4" s="4" t="inlineStr">
        <is>
          <t>Oct-26</t>
        </is>
      </c>
      <c r="F4" s="4" t="inlineStr">
        <is>
          <t>Nov-26</t>
        </is>
      </c>
      <c r="G4" s="4" t="inlineStr">
        <is>
          <t>Dec-26</t>
        </is>
      </c>
      <c r="H4" s="4" t="inlineStr">
        <is>
          <t>Jan-27</t>
        </is>
      </c>
      <c r="I4" s="4" t="inlineStr">
        <is>
          <t>Feb-27</t>
        </is>
      </c>
      <c r="J4" s="4" t="inlineStr">
        <is>
          <t>Mar-27</t>
        </is>
      </c>
      <c r="K4" s="4" t="inlineStr">
        <is>
          <t>Apr-27</t>
        </is>
      </c>
      <c r="L4" s="4" t="inlineStr">
        <is>
          <t>May-27</t>
        </is>
      </c>
      <c r="M4" s="4" t="inlineStr">
        <is>
          <t>Jun-27</t>
        </is>
      </c>
      <c r="N4" s="4" t="inlineStr">
        <is>
          <t>Jul-27</t>
        </is>
      </c>
      <c r="O4" s="4" t="inlineStr">
        <is>
          <t>Aug-27</t>
        </is>
      </c>
      <c r="P4" s="4" t="inlineStr">
        <is>
          <t>Sep-27</t>
        </is>
      </c>
      <c r="Q4" s="4" t="inlineStr">
        <is>
          <t>Oct-27</t>
        </is>
      </c>
      <c r="R4" s="4" t="inlineStr">
        <is>
          <t>Nov-27</t>
        </is>
      </c>
      <c r="S4" s="4" t="inlineStr">
        <is>
          <t>Dec-27</t>
        </is>
      </c>
      <c r="T4" s="4" t="inlineStr">
        <is>
          <t>H2-2026</t>
        </is>
      </c>
      <c r="U4" s="4" t="inlineStr">
        <is>
          <t>FY-2027</t>
        </is>
      </c>
    </row>
    <row r="5">
      <c r="A5" t="inlineStr">
        <is>
          <t>Billable hours</t>
        </is>
      </c>
      <c r="B5" s="17">
        <f>Drivers!B$6*Drivers!$B$19*Drivers!B$7</f>
        <v/>
      </c>
      <c r="C5" s="17">
        <f>Drivers!C$6*Drivers!$B$19*Drivers!C$7</f>
        <v/>
      </c>
      <c r="D5" s="17">
        <f>Drivers!D$6*Drivers!$B$19*Drivers!D$7</f>
        <v/>
      </c>
      <c r="E5" s="17">
        <f>Drivers!E$6*Drivers!$B$19*Drivers!E$7</f>
        <v/>
      </c>
      <c r="F5" s="17">
        <f>Drivers!F$6*Drivers!$B$19*Drivers!F$7</f>
        <v/>
      </c>
      <c r="G5" s="17">
        <f>Drivers!G$6*Drivers!$B$19*Drivers!G$7</f>
        <v/>
      </c>
      <c r="H5" s="17">
        <f>Drivers!H$6*Drivers!$B$19*Drivers!H$7</f>
        <v/>
      </c>
      <c r="I5" s="17">
        <f>Drivers!I$6*Drivers!$B$19*Drivers!I$7</f>
        <v/>
      </c>
      <c r="J5" s="17">
        <f>Drivers!J$6*Drivers!$B$19*Drivers!J$7</f>
        <v/>
      </c>
      <c r="K5" s="17">
        <f>Drivers!K$6*Drivers!$B$19*Drivers!K$7</f>
        <v/>
      </c>
      <c r="L5" s="17">
        <f>Drivers!L$6*Drivers!$B$19*Drivers!L$7</f>
        <v/>
      </c>
      <c r="M5" s="17">
        <f>Drivers!M$6*Drivers!$B$19*Drivers!M$7</f>
        <v/>
      </c>
      <c r="N5" s="17">
        <f>Drivers!N$6*Drivers!$B$19*Drivers!N$7</f>
        <v/>
      </c>
      <c r="O5" s="17">
        <f>Drivers!O$6*Drivers!$B$19*Drivers!O$7</f>
        <v/>
      </c>
      <c r="P5" s="17">
        <f>Drivers!P$6*Drivers!$B$19*Drivers!P$7</f>
        <v/>
      </c>
      <c r="Q5" s="17">
        <f>Drivers!Q$6*Drivers!$B$19*Drivers!Q$7</f>
        <v/>
      </c>
      <c r="R5" s="17">
        <f>Drivers!R$6*Drivers!$B$19*Drivers!R$7</f>
        <v/>
      </c>
      <c r="S5" s="17">
        <f>Drivers!S$6*Drivers!$B$19*Drivers!S$7</f>
        <v/>
      </c>
      <c r="T5" s="18">
        <f>SUM(B5:G5)</f>
        <v/>
      </c>
      <c r="U5" s="18">
        <f>SUM(H5:S5)</f>
        <v/>
      </c>
    </row>
    <row r="6">
      <c r="A6" s="3" t="inlineStr">
        <is>
          <t>Revenue</t>
        </is>
      </c>
      <c r="B6" s="19">
        <f>B5*Drivers!$B$12*Drivers!B$8/1000</f>
        <v/>
      </c>
      <c r="C6" s="19">
        <f>C5*Drivers!$B$12*Drivers!C$8/1000</f>
        <v/>
      </c>
      <c r="D6" s="19">
        <f>D5*Drivers!$B$12*Drivers!D$8/1000</f>
        <v/>
      </c>
      <c r="E6" s="19">
        <f>E5*Drivers!$B$12*Drivers!E$8/1000</f>
        <v/>
      </c>
      <c r="F6" s="19">
        <f>F5*Drivers!$B$12*Drivers!F$8/1000</f>
        <v/>
      </c>
      <c r="G6" s="19">
        <f>G5*Drivers!$B$12*Drivers!G$8/1000</f>
        <v/>
      </c>
      <c r="H6" s="19">
        <f>H5*Drivers!$B$12*Drivers!H$8/1000</f>
        <v/>
      </c>
      <c r="I6" s="19">
        <f>I5*Drivers!$B$12*Drivers!I$8/1000</f>
        <v/>
      </c>
      <c r="J6" s="19">
        <f>J5*Drivers!$B$12*Drivers!J$8/1000</f>
        <v/>
      </c>
      <c r="K6" s="19">
        <f>K5*Drivers!$B$12*Drivers!K$8/1000</f>
        <v/>
      </c>
      <c r="L6" s="19">
        <f>L5*Drivers!$B$12*Drivers!L$8/1000</f>
        <v/>
      </c>
      <c r="M6" s="19">
        <f>M5*Drivers!$B$12*Drivers!M$8/1000</f>
        <v/>
      </c>
      <c r="N6" s="19">
        <f>N5*Drivers!$B$12*Drivers!N$8/1000</f>
        <v/>
      </c>
      <c r="O6" s="19">
        <f>O5*Drivers!$B$12*Drivers!O$8/1000</f>
        <v/>
      </c>
      <c r="P6" s="19">
        <f>P5*Drivers!$B$12*Drivers!P$8/1000</f>
        <v/>
      </c>
      <c r="Q6" s="19">
        <f>Q5*Drivers!$B$12*Drivers!Q$8/1000</f>
        <v/>
      </c>
      <c r="R6" s="19">
        <f>R5*Drivers!$B$12*Drivers!R$8/1000</f>
        <v/>
      </c>
      <c r="S6" s="19">
        <f>S5*Drivers!$B$12*Drivers!S$8/1000</f>
        <v/>
      </c>
      <c r="T6" s="20">
        <f>SUM(B6:G6)</f>
        <v/>
      </c>
      <c r="U6" s="20">
        <f>SUM(H6:S6)</f>
        <v/>
      </c>
    </row>
    <row r="7">
      <c r="A7" t="inlineStr">
        <is>
          <t>Direct labor (billable hrs × budget rate)</t>
        </is>
      </c>
      <c r="B7" s="19">
        <f>B5*Drivers!$B$13/1000</f>
        <v/>
      </c>
      <c r="C7" s="19">
        <f>C5*Drivers!$B$13/1000</f>
        <v/>
      </c>
      <c r="D7" s="19">
        <f>D5*Drivers!$B$13/1000</f>
        <v/>
      </c>
      <c r="E7" s="19">
        <f>E5*Drivers!$B$13/1000</f>
        <v/>
      </c>
      <c r="F7" s="19">
        <f>F5*Drivers!$B$13/1000</f>
        <v/>
      </c>
      <c r="G7" s="19">
        <f>G5*Drivers!$B$13/1000</f>
        <v/>
      </c>
      <c r="H7" s="19">
        <f>H5*Drivers!$B$13/1000</f>
        <v/>
      </c>
      <c r="I7" s="19">
        <f>I5*Drivers!$B$13/1000</f>
        <v/>
      </c>
      <c r="J7" s="19">
        <f>J5*Drivers!$B$13/1000</f>
        <v/>
      </c>
      <c r="K7" s="19">
        <f>K5*Drivers!$B$13/1000</f>
        <v/>
      </c>
      <c r="L7" s="19">
        <f>L5*Drivers!$B$13/1000</f>
        <v/>
      </c>
      <c r="M7" s="19">
        <f>M5*Drivers!$B$13/1000</f>
        <v/>
      </c>
      <c r="N7" s="19">
        <f>N5*Drivers!$B$13/1000</f>
        <v/>
      </c>
      <c r="O7" s="19">
        <f>O5*Drivers!$B$13/1000</f>
        <v/>
      </c>
      <c r="P7" s="19">
        <f>P5*Drivers!$B$13/1000</f>
        <v/>
      </c>
      <c r="Q7" s="19">
        <f>Q5*Drivers!$B$13/1000</f>
        <v/>
      </c>
      <c r="R7" s="19">
        <f>R5*Drivers!$B$13/1000</f>
        <v/>
      </c>
      <c r="S7" s="19">
        <f>S5*Drivers!$B$13/1000</f>
        <v/>
      </c>
      <c r="T7" s="20">
        <f>SUM(B7:G7)</f>
        <v/>
      </c>
      <c r="U7" s="20">
        <f>SUM(H7:S7)</f>
        <v/>
      </c>
    </row>
    <row r="8">
      <c r="A8" s="3" t="inlineStr">
        <is>
          <t>Gross Profit</t>
        </is>
      </c>
      <c r="B8" s="19">
        <f>B6-B7</f>
        <v/>
      </c>
      <c r="C8" s="19">
        <f>C6-C7</f>
        <v/>
      </c>
      <c r="D8" s="19">
        <f>D6-D7</f>
        <v/>
      </c>
      <c r="E8" s="19">
        <f>E6-E7</f>
        <v/>
      </c>
      <c r="F8" s="19">
        <f>F6-F7</f>
        <v/>
      </c>
      <c r="G8" s="19">
        <f>G6-G7</f>
        <v/>
      </c>
      <c r="H8" s="19">
        <f>H6-H7</f>
        <v/>
      </c>
      <c r="I8" s="19">
        <f>I6-I7</f>
        <v/>
      </c>
      <c r="J8" s="19">
        <f>J6-J7</f>
        <v/>
      </c>
      <c r="K8" s="19">
        <f>K6-K7</f>
        <v/>
      </c>
      <c r="L8" s="19">
        <f>L6-L7</f>
        <v/>
      </c>
      <c r="M8" s="19">
        <f>M6-M7</f>
        <v/>
      </c>
      <c r="N8" s="19">
        <f>N6-N7</f>
        <v/>
      </c>
      <c r="O8" s="19">
        <f>O6-O7</f>
        <v/>
      </c>
      <c r="P8" s="19">
        <f>P6-P7</f>
        <v/>
      </c>
      <c r="Q8" s="19">
        <f>Q6-Q7</f>
        <v/>
      </c>
      <c r="R8" s="19">
        <f>R6-R7</f>
        <v/>
      </c>
      <c r="S8" s="19">
        <f>S6-S7</f>
        <v/>
      </c>
      <c r="T8" s="20">
        <f>SUM(B8:G8)</f>
        <v/>
      </c>
      <c r="U8" s="20">
        <f>SUM(H8:S8)</f>
        <v/>
      </c>
    </row>
    <row r="9">
      <c r="A9" t="inlineStr">
        <is>
          <t>Gross margin %</t>
        </is>
      </c>
      <c r="B9" s="21">
        <f>B8/B6</f>
        <v/>
      </c>
      <c r="C9" s="21">
        <f>C8/C6</f>
        <v/>
      </c>
      <c r="D9" s="21">
        <f>D8/D6</f>
        <v/>
      </c>
      <c r="E9" s="21">
        <f>E8/E6</f>
        <v/>
      </c>
      <c r="F9" s="21">
        <f>F8/F6</f>
        <v/>
      </c>
      <c r="G9" s="21">
        <f>G8/G6</f>
        <v/>
      </c>
      <c r="H9" s="21">
        <f>H8/H6</f>
        <v/>
      </c>
      <c r="I9" s="21">
        <f>I8/I6</f>
        <v/>
      </c>
      <c r="J9" s="21">
        <f>J8/J6</f>
        <v/>
      </c>
      <c r="K9" s="21">
        <f>K8/K6</f>
        <v/>
      </c>
      <c r="L9" s="21">
        <f>L8/L6</f>
        <v/>
      </c>
      <c r="M9" s="21">
        <f>M8/M6</f>
        <v/>
      </c>
      <c r="N9" s="21">
        <f>N8/N6</f>
        <v/>
      </c>
      <c r="O9" s="21">
        <f>O8/O6</f>
        <v/>
      </c>
      <c r="P9" s="21">
        <f>P8/P6</f>
        <v/>
      </c>
      <c r="Q9" s="21">
        <f>Q8/Q6</f>
        <v/>
      </c>
      <c r="R9" s="21">
        <f>R8/R6</f>
        <v/>
      </c>
      <c r="S9" s="21">
        <f>S8/S6</f>
        <v/>
      </c>
      <c r="T9" s="21">
        <f>T8/T6</f>
        <v/>
      </c>
      <c r="U9" s="21">
        <f>U8/U6</f>
        <v/>
      </c>
    </row>
    <row r="10">
      <c r="A10" t="inlineStr">
        <is>
          <t>Indirect &amp; other labor (total labor − direct)</t>
        </is>
      </c>
      <c r="B10" s="19">
        <f>Drivers!B$6*Drivers!$B$14/1000-B7</f>
        <v/>
      </c>
      <c r="C10" s="19">
        <f>Drivers!C$6*Drivers!$B$14/1000-C7</f>
        <v/>
      </c>
      <c r="D10" s="19">
        <f>Drivers!D$6*Drivers!$B$14/1000-D7</f>
        <v/>
      </c>
      <c r="E10" s="19">
        <f>Drivers!E$6*Drivers!$B$14/1000-E7</f>
        <v/>
      </c>
      <c r="F10" s="19">
        <f>Drivers!F$6*Drivers!$B$14/1000-F7</f>
        <v/>
      </c>
      <c r="G10" s="19">
        <f>Drivers!G$6*Drivers!$B$14/1000-G7</f>
        <v/>
      </c>
      <c r="H10" s="19">
        <f>Drivers!H$6*Drivers!$B$14/1000-H7</f>
        <v/>
      </c>
      <c r="I10" s="19">
        <f>Drivers!I$6*Drivers!$B$14/1000-I7</f>
        <v/>
      </c>
      <c r="J10" s="19">
        <f>Drivers!J$6*Drivers!$B$14/1000-J7</f>
        <v/>
      </c>
      <c r="K10" s="19">
        <f>Drivers!K$6*Drivers!$B$14/1000-K7</f>
        <v/>
      </c>
      <c r="L10" s="19">
        <f>Drivers!L$6*Drivers!$B$14/1000-L7</f>
        <v/>
      </c>
      <c r="M10" s="19">
        <f>Drivers!M$6*Drivers!$B$14/1000-M7</f>
        <v/>
      </c>
      <c r="N10" s="19">
        <f>Drivers!N$6*Drivers!$B$14/1000-N7</f>
        <v/>
      </c>
      <c r="O10" s="19">
        <f>Drivers!O$6*Drivers!$B$14/1000-O7</f>
        <v/>
      </c>
      <c r="P10" s="19">
        <f>Drivers!P$6*Drivers!$B$14/1000-P7</f>
        <v/>
      </c>
      <c r="Q10" s="19">
        <f>Drivers!Q$6*Drivers!$B$14/1000-Q7</f>
        <v/>
      </c>
      <c r="R10" s="19">
        <f>Drivers!R$6*Drivers!$B$14/1000-R7</f>
        <v/>
      </c>
      <c r="S10" s="19">
        <f>Drivers!S$6*Drivers!$B$14/1000-S7</f>
        <v/>
      </c>
      <c r="T10" s="20">
        <f>SUM(B10:G10)</f>
        <v/>
      </c>
      <c r="U10" s="20">
        <f>SUM(H10:S10)</f>
        <v/>
      </c>
    </row>
    <row r="11">
      <c r="A11" t="inlineStr">
        <is>
          <t>Non-labor operating expenses</t>
        </is>
      </c>
      <c r="B11" s="19">
        <f>Drivers!$B$15/1000</f>
        <v/>
      </c>
      <c r="C11" s="19">
        <f>Drivers!$B$15/1000</f>
        <v/>
      </c>
      <c r="D11" s="19">
        <f>Drivers!$B$15/1000</f>
        <v/>
      </c>
      <c r="E11" s="19">
        <f>Drivers!$B$15/1000</f>
        <v/>
      </c>
      <c r="F11" s="19">
        <f>Drivers!$B$15/1000</f>
        <v/>
      </c>
      <c r="G11" s="19">
        <f>Drivers!$B$15/1000</f>
        <v/>
      </c>
      <c r="H11" s="19">
        <f>Drivers!$B$15/1000</f>
        <v/>
      </c>
      <c r="I11" s="19">
        <f>Drivers!$B$15/1000</f>
        <v/>
      </c>
      <c r="J11" s="19">
        <f>Drivers!$B$15/1000</f>
        <v/>
      </c>
      <c r="K11" s="19">
        <f>Drivers!$B$15/1000</f>
        <v/>
      </c>
      <c r="L11" s="19">
        <f>Drivers!$B$15/1000</f>
        <v/>
      </c>
      <c r="M11" s="19">
        <f>Drivers!$B$15/1000</f>
        <v/>
      </c>
      <c r="N11" s="19">
        <f>Drivers!$B$15/1000</f>
        <v/>
      </c>
      <c r="O11" s="19">
        <f>Drivers!$B$15/1000</f>
        <v/>
      </c>
      <c r="P11" s="19">
        <f>Drivers!$B$15/1000</f>
        <v/>
      </c>
      <c r="Q11" s="19">
        <f>Drivers!$B$15/1000</f>
        <v/>
      </c>
      <c r="R11" s="19">
        <f>Drivers!$B$15/1000</f>
        <v/>
      </c>
      <c r="S11" s="19">
        <f>Drivers!$B$15/1000</f>
        <v/>
      </c>
      <c r="T11" s="20">
        <f>SUM(B11:G11)</f>
        <v/>
      </c>
      <c r="U11" s="20">
        <f>SUM(H11:S11)</f>
        <v/>
      </c>
    </row>
    <row r="12">
      <c r="A12" t="inlineStr">
        <is>
          <t>Corporate overhead allocation</t>
        </is>
      </c>
      <c r="B12" s="19">
        <f>Drivers!$B$16/1000</f>
        <v/>
      </c>
      <c r="C12" s="19">
        <f>Drivers!$B$16/1000</f>
        <v/>
      </c>
      <c r="D12" s="19">
        <f>Drivers!$B$16/1000</f>
        <v/>
      </c>
      <c r="E12" s="19">
        <f>Drivers!$B$16/1000</f>
        <v/>
      </c>
      <c r="F12" s="19">
        <f>Drivers!$B$16/1000</f>
        <v/>
      </c>
      <c r="G12" s="19">
        <f>Drivers!$B$16/1000</f>
        <v/>
      </c>
      <c r="H12" s="19">
        <f>Drivers!$B$16/1000</f>
        <v/>
      </c>
      <c r="I12" s="19">
        <f>Drivers!$B$16/1000</f>
        <v/>
      </c>
      <c r="J12" s="19">
        <f>Drivers!$B$16/1000</f>
        <v/>
      </c>
      <c r="K12" s="19">
        <f>Drivers!$B$16/1000</f>
        <v/>
      </c>
      <c r="L12" s="19">
        <f>Drivers!$B$16/1000</f>
        <v/>
      </c>
      <c r="M12" s="19">
        <f>Drivers!$B$16/1000</f>
        <v/>
      </c>
      <c r="N12" s="19">
        <f>Drivers!$B$16/1000</f>
        <v/>
      </c>
      <c r="O12" s="19">
        <f>Drivers!$B$16/1000</f>
        <v/>
      </c>
      <c r="P12" s="19">
        <f>Drivers!$B$16/1000</f>
        <v/>
      </c>
      <c r="Q12" s="19">
        <f>Drivers!$B$16/1000</f>
        <v/>
      </c>
      <c r="R12" s="19">
        <f>Drivers!$B$16/1000</f>
        <v/>
      </c>
      <c r="S12" s="19">
        <f>Drivers!$B$16/1000</f>
        <v/>
      </c>
      <c r="T12" s="20">
        <f>SUM(B12:G12)</f>
        <v/>
      </c>
      <c r="U12" s="20">
        <f>SUM(H12:S12)</f>
        <v/>
      </c>
    </row>
    <row r="13">
      <c r="A13" s="3" t="inlineStr">
        <is>
          <t>Total Operating Expenses</t>
        </is>
      </c>
      <c r="B13" s="19">
        <f>SUM(B10:B12)</f>
        <v/>
      </c>
      <c r="C13" s="19">
        <f>SUM(C10:C12)</f>
        <v/>
      </c>
      <c r="D13" s="19">
        <f>SUM(D10:D12)</f>
        <v/>
      </c>
      <c r="E13" s="19">
        <f>SUM(E10:E12)</f>
        <v/>
      </c>
      <c r="F13" s="19">
        <f>SUM(F10:F12)</f>
        <v/>
      </c>
      <c r="G13" s="19">
        <f>SUM(G10:G12)</f>
        <v/>
      </c>
      <c r="H13" s="19">
        <f>SUM(H10:H12)</f>
        <v/>
      </c>
      <c r="I13" s="19">
        <f>SUM(I10:I12)</f>
        <v/>
      </c>
      <c r="J13" s="19">
        <f>SUM(J10:J12)</f>
        <v/>
      </c>
      <c r="K13" s="19">
        <f>SUM(K10:K12)</f>
        <v/>
      </c>
      <c r="L13" s="19">
        <f>SUM(L10:L12)</f>
        <v/>
      </c>
      <c r="M13" s="19">
        <f>SUM(M10:M12)</f>
        <v/>
      </c>
      <c r="N13" s="19">
        <f>SUM(N10:N12)</f>
        <v/>
      </c>
      <c r="O13" s="19">
        <f>SUM(O10:O12)</f>
        <v/>
      </c>
      <c r="P13" s="19">
        <f>SUM(P10:P12)</f>
        <v/>
      </c>
      <c r="Q13" s="19">
        <f>SUM(Q10:Q12)</f>
        <v/>
      </c>
      <c r="R13" s="19">
        <f>SUM(R10:R12)</f>
        <v/>
      </c>
      <c r="S13" s="19">
        <f>SUM(S10:S12)</f>
        <v/>
      </c>
      <c r="T13" s="20">
        <f>SUM(B13:G13)</f>
        <v/>
      </c>
      <c r="U13" s="20">
        <f>SUM(H13:S13)</f>
        <v/>
      </c>
    </row>
    <row r="14">
      <c r="A14" s="3" t="inlineStr">
        <is>
          <t>Operating Income / (Loss)</t>
        </is>
      </c>
      <c r="B14" s="19">
        <f>B8-B13</f>
        <v/>
      </c>
      <c r="C14" s="19">
        <f>C8-C13</f>
        <v/>
      </c>
      <c r="D14" s="19">
        <f>D8-D13</f>
        <v/>
      </c>
      <c r="E14" s="19">
        <f>E8-E13</f>
        <v/>
      </c>
      <c r="F14" s="19">
        <f>F8-F13</f>
        <v/>
      </c>
      <c r="G14" s="19">
        <f>G8-G13</f>
        <v/>
      </c>
      <c r="H14" s="19">
        <f>H8-H13</f>
        <v/>
      </c>
      <c r="I14" s="19">
        <f>I8-I13</f>
        <v/>
      </c>
      <c r="J14" s="19">
        <f>J8-J13</f>
        <v/>
      </c>
      <c r="K14" s="19">
        <f>K8-K13</f>
        <v/>
      </c>
      <c r="L14" s="19">
        <f>L8-L13</f>
        <v/>
      </c>
      <c r="M14" s="19">
        <f>M8-M13</f>
        <v/>
      </c>
      <c r="N14" s="19">
        <f>N8-N13</f>
        <v/>
      </c>
      <c r="O14" s="19">
        <f>O8-O13</f>
        <v/>
      </c>
      <c r="P14" s="19">
        <f>P8-P13</f>
        <v/>
      </c>
      <c r="Q14" s="19">
        <f>Q8-Q13</f>
        <v/>
      </c>
      <c r="R14" s="19">
        <f>R8-R13</f>
        <v/>
      </c>
      <c r="S14" s="19">
        <f>S8-S13</f>
        <v/>
      </c>
      <c r="T14" s="20">
        <f>SUM(B14:G14)</f>
        <v/>
      </c>
      <c r="U14" s="20">
        <f>SUM(H14:S14)</f>
        <v/>
      </c>
    </row>
    <row r="15">
      <c r="A15" t="inlineStr">
        <is>
          <t>Interest (parent note)</t>
        </is>
      </c>
      <c r="B15" s="19">
        <f>'Cash &amp; Note'!B6*Drivers!$B$17/12</f>
        <v/>
      </c>
      <c r="C15" s="19">
        <f>'Cash &amp; Note'!C6*Drivers!$B$17/12</f>
        <v/>
      </c>
      <c r="D15" s="19">
        <f>'Cash &amp; Note'!D6*Drivers!$B$17/12</f>
        <v/>
      </c>
      <c r="E15" s="19">
        <f>'Cash &amp; Note'!E6*Drivers!$B$17/12</f>
        <v/>
      </c>
      <c r="F15" s="19">
        <f>'Cash &amp; Note'!F6*Drivers!$B$17/12</f>
        <v/>
      </c>
      <c r="G15" s="19">
        <f>'Cash &amp; Note'!G6*Drivers!$B$17/12</f>
        <v/>
      </c>
      <c r="H15" s="19">
        <f>'Cash &amp; Note'!H6*Drivers!$B$17/12</f>
        <v/>
      </c>
      <c r="I15" s="19">
        <f>'Cash &amp; Note'!I6*Drivers!$B$17/12</f>
        <v/>
      </c>
      <c r="J15" s="19">
        <f>'Cash &amp; Note'!J6*Drivers!$B$17/12</f>
        <v/>
      </c>
      <c r="K15" s="19">
        <f>'Cash &amp; Note'!K6*Drivers!$B$17/12</f>
        <v/>
      </c>
      <c r="L15" s="19">
        <f>'Cash &amp; Note'!L6*Drivers!$B$17/12</f>
        <v/>
      </c>
      <c r="M15" s="19">
        <f>'Cash &amp; Note'!M6*Drivers!$B$17/12</f>
        <v/>
      </c>
      <c r="N15" s="19">
        <f>'Cash &amp; Note'!N6*Drivers!$B$17/12</f>
        <v/>
      </c>
      <c r="O15" s="19">
        <f>'Cash &amp; Note'!O6*Drivers!$B$17/12</f>
        <v/>
      </c>
      <c r="P15" s="19">
        <f>'Cash &amp; Note'!P6*Drivers!$B$17/12</f>
        <v/>
      </c>
      <c r="Q15" s="19">
        <f>'Cash &amp; Note'!Q6*Drivers!$B$17/12</f>
        <v/>
      </c>
      <c r="R15" s="19">
        <f>'Cash &amp; Note'!R6*Drivers!$B$17/12</f>
        <v/>
      </c>
      <c r="S15" s="19">
        <f>'Cash &amp; Note'!S6*Drivers!$B$17/12</f>
        <v/>
      </c>
      <c r="T15" s="20">
        <f>SUM(B15:G15)</f>
        <v/>
      </c>
      <c r="U15" s="20">
        <f>SUM(H15:S15)</f>
        <v/>
      </c>
    </row>
    <row r="16">
      <c r="A16" s="3" t="inlineStr">
        <is>
          <t>Net Income / (Loss)</t>
        </is>
      </c>
      <c r="B16" s="19">
        <f>B14-B15</f>
        <v/>
      </c>
      <c r="C16" s="19">
        <f>C14-C15</f>
        <v/>
      </c>
      <c r="D16" s="19">
        <f>D14-D15</f>
        <v/>
      </c>
      <c r="E16" s="19">
        <f>E14-E15</f>
        <v/>
      </c>
      <c r="F16" s="19">
        <f>F14-F15</f>
        <v/>
      </c>
      <c r="G16" s="19">
        <f>G14-G15</f>
        <v/>
      </c>
      <c r="H16" s="19">
        <f>H14-H15</f>
        <v/>
      </c>
      <c r="I16" s="19">
        <f>I14-I15</f>
        <v/>
      </c>
      <c r="J16" s="19">
        <f>J14-J15</f>
        <v/>
      </c>
      <c r="K16" s="19">
        <f>K14-K15</f>
        <v/>
      </c>
      <c r="L16" s="19">
        <f>L14-L15</f>
        <v/>
      </c>
      <c r="M16" s="19">
        <f>M14-M15</f>
        <v/>
      </c>
      <c r="N16" s="19">
        <f>N14-N15</f>
        <v/>
      </c>
      <c r="O16" s="19">
        <f>O14-O15</f>
        <v/>
      </c>
      <c r="P16" s="19">
        <f>P14-P15</f>
        <v/>
      </c>
      <c r="Q16" s="19">
        <f>Q14-Q15</f>
        <v/>
      </c>
      <c r="R16" s="19">
        <f>R14-R15</f>
        <v/>
      </c>
      <c r="S16" s="19">
        <f>S14-S15</f>
        <v/>
      </c>
      <c r="T16" s="20">
        <f>SUM(B16:G16)</f>
        <v/>
      </c>
      <c r="U16" s="20">
        <f>SUM(H16:S16)</f>
        <v/>
      </c>
    </row>
    <row r="17">
      <c r="A17" t="inlineStr">
        <is>
          <t>OILI return % (OI − interest) ÷ revenue</t>
        </is>
      </c>
      <c r="B17" s="21">
        <f>(B14-B15)/B6</f>
        <v/>
      </c>
      <c r="C17" s="21">
        <f>(C14-C15)/C6</f>
        <v/>
      </c>
      <c r="D17" s="21">
        <f>(D14-D15)/D6</f>
        <v/>
      </c>
      <c r="E17" s="21">
        <f>(E14-E15)/E6</f>
        <v/>
      </c>
      <c r="F17" s="21">
        <f>(F14-F15)/F6</f>
        <v/>
      </c>
      <c r="G17" s="21">
        <f>(G14-G15)/G6</f>
        <v/>
      </c>
      <c r="H17" s="21">
        <f>(H14-H15)/H6</f>
        <v/>
      </c>
      <c r="I17" s="21">
        <f>(I14-I15)/I6</f>
        <v/>
      </c>
      <c r="J17" s="21">
        <f>(J14-J15)/J6</f>
        <v/>
      </c>
      <c r="K17" s="21">
        <f>(K14-K15)/K6</f>
        <v/>
      </c>
      <c r="L17" s="21">
        <f>(L14-L15)/L6</f>
        <v/>
      </c>
      <c r="M17" s="21">
        <f>(M14-M15)/M6</f>
        <v/>
      </c>
      <c r="N17" s="21">
        <f>(N14-N15)/N6</f>
        <v/>
      </c>
      <c r="O17" s="21">
        <f>(O14-O15)/O6</f>
        <v/>
      </c>
      <c r="P17" s="21">
        <f>(P14-P15)/P6</f>
        <v/>
      </c>
      <c r="Q17" s="21">
        <f>(Q14-Q15)/Q6</f>
        <v/>
      </c>
      <c r="R17" s="21">
        <f>(R14-R15)/R6</f>
        <v/>
      </c>
      <c r="S17" s="21">
        <f>(S14-S15)/S6</f>
        <v/>
      </c>
      <c r="T17" s="21">
        <f>(T14-T15)/T6</f>
        <v/>
      </c>
      <c r="U17" s="21">
        <f>(U14-U15)/U6</f>
        <v/>
      </c>
    </row>
    <row r="19">
      <c r="A19" s="2" t="inlineStr">
        <is>
          <t>Cost structure reconciled to the 2026 CVR Budget (finance): direct labor = billable hours × $54.89; total labor is fixed per FTE, so utilization gains flow to Operating Income. At the budget operating point (9.72 FTE, 70% util, ~$142.85 realized) this reproduces the budget's $104.1K GP and $11.6K OI/month.</t>
        </is>
      </c>
    </row>
    <row r="20">
      <c r="A20" s="2" t="inlineStr">
        <is>
          <t>BUDGET (finance, flat monthly): Revenue $169.1K · Direct labor $65.0K · GP $104.1K · OpEx $92.5K · Operating Income $11.6K · Interest $0 · Net Income $11.6K. Full monthly compare on the 'vs Budget' tab.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0" customWidth="1" min="5" max="5"/>
    <col width="9" customWidth="1" min="6" max="6"/>
    <col width="9" customWidth="1" min="7" max="7"/>
  </cols>
  <sheetData>
    <row r="1">
      <c r="A1" s="1" t="inlineStr">
        <is>
          <t>Forecast vs 2026 Budget (finance) — H2-2026, line by line ($K)</t>
        </is>
      </c>
    </row>
    <row r="2">
      <c r="A2" s="2" t="inlineStr">
        <is>
          <t>Budget = flat monthly per the 2026 CVR Budget V5. Forecast = active scenario from Forecast P&amp;L. Δ = Forecast − Budget.</t>
        </is>
      </c>
    </row>
    <row r="4">
      <c r="A4" s="4" t="inlineStr">
        <is>
          <t>H2-2026 ($K)</t>
        </is>
      </c>
      <c r="B4" s="4" t="inlineStr">
        <is>
          <t>Forecast</t>
        </is>
      </c>
      <c r="C4" s="4" t="inlineStr">
        <is>
          <t>Budget</t>
        </is>
      </c>
      <c r="D4" s="4" t="inlineStr">
        <is>
          <t>Δ (Fcst − Bud)</t>
        </is>
      </c>
      <c r="E4" s="4" t="inlineStr">
        <is>
          <t>Δ %</t>
        </is>
      </c>
    </row>
    <row r="5">
      <c r="A5" s="11" t="inlineStr">
        <is>
          <t>Revenue</t>
        </is>
      </c>
      <c r="B5" s="19">
        <f>SUM('Forecast P&amp;L'!B6:G6)</f>
        <v/>
      </c>
      <c r="C5" s="19" t="n">
        <v>1014.6</v>
      </c>
      <c r="D5" s="19">
        <f>B5-C5</f>
        <v/>
      </c>
      <c r="E5" s="10">
        <f>IF(C5=0,"n/a",B5/C5-1)</f>
        <v/>
      </c>
    </row>
    <row r="6">
      <c r="A6" s="11" t="inlineStr">
        <is>
          <t>Direct labor</t>
        </is>
      </c>
      <c r="B6" s="19">
        <f>SUM('Forecast P&amp;L'!B7:G7)</f>
        <v/>
      </c>
      <c r="C6" s="19" t="n">
        <v>389.9</v>
      </c>
      <c r="D6" s="19">
        <f>B6-C6</f>
        <v/>
      </c>
      <c r="E6" s="10">
        <f>IF(C6=0,"n/a",B6/C6-1)</f>
        <v/>
      </c>
    </row>
    <row r="7">
      <c r="A7" s="22" t="inlineStr">
        <is>
          <t>Gross Profit</t>
        </is>
      </c>
      <c r="B7" s="23">
        <f>SUM('Forecast P&amp;L'!B8:G8)</f>
        <v/>
      </c>
      <c r="C7" s="23" t="n">
        <v>624.7</v>
      </c>
      <c r="D7" s="23">
        <f>B7-C7</f>
        <v/>
      </c>
      <c r="E7" s="10">
        <f>IF(C7=0,"n/a",B7/C7-1)</f>
        <v/>
      </c>
    </row>
    <row r="8">
      <c r="A8" s="11" t="inlineStr">
        <is>
          <t>Total Operating Expenses</t>
        </is>
      </c>
      <c r="B8" s="19">
        <f>SUM('Forecast P&amp;L'!B13:G13)</f>
        <v/>
      </c>
      <c r="C8" s="19" t="n">
        <v>555</v>
      </c>
      <c r="D8" s="19">
        <f>B8-C8</f>
        <v/>
      </c>
      <c r="E8" s="10">
        <f>IF(C8=0,"n/a",B8/C8-1)</f>
        <v/>
      </c>
    </row>
    <row r="9">
      <c r="A9" s="22" t="inlineStr">
        <is>
          <t>Operating Income</t>
        </is>
      </c>
      <c r="B9" s="23">
        <f>SUM('Forecast P&amp;L'!B14:G14)</f>
        <v/>
      </c>
      <c r="C9" s="23" t="n">
        <v>69.7</v>
      </c>
      <c r="D9" s="23">
        <f>B9-C9</f>
        <v/>
      </c>
      <c r="E9" s="10">
        <f>IF(C9=0,"n/a",B9/C9-1)</f>
        <v/>
      </c>
    </row>
    <row r="10">
      <c r="A10" s="11" t="inlineStr">
        <is>
          <t>Interest</t>
        </is>
      </c>
      <c r="B10" s="19">
        <f>SUM('Forecast P&amp;L'!B15:G15)</f>
        <v/>
      </c>
      <c r="C10" s="19" t="n">
        <v>0</v>
      </c>
      <c r="D10" s="19">
        <f>B10-C10</f>
        <v/>
      </c>
      <c r="E10" s="10">
        <f>IF(C10=0,"n/a",B10/C10-1)</f>
        <v/>
      </c>
    </row>
    <row r="11">
      <c r="A11" s="22" t="inlineStr">
        <is>
          <t>Net Income</t>
        </is>
      </c>
      <c r="B11" s="23">
        <f>SUM('Forecast P&amp;L'!B16:G16)</f>
        <v/>
      </c>
      <c r="C11" s="23" t="n">
        <v>69.7</v>
      </c>
      <c r="D11" s="23">
        <f>B11-C11</f>
        <v/>
      </c>
      <c r="E11" s="10">
        <f>IF(C11=0,"n/a",B11/C11-1)</f>
        <v/>
      </c>
    </row>
    <row r="13">
      <c r="A13" s="3" t="inlineStr">
        <is>
          <t>Full monthly budget (flat) for reference:</t>
        </is>
      </c>
    </row>
    <row r="14">
      <c r="A14" s="4" t="inlineStr">
        <is>
          <t>Budget $K</t>
        </is>
      </c>
      <c r="B14" s="4" t="inlineStr">
        <is>
          <t>Jul-26</t>
        </is>
      </c>
      <c r="C14" s="4" t="inlineStr">
        <is>
          <t>Aug-26</t>
        </is>
      </c>
      <c r="D14" s="4" t="inlineStr">
        <is>
          <t>Sep-26</t>
        </is>
      </c>
      <c r="E14" s="4" t="inlineStr">
        <is>
          <t>Oct-26</t>
        </is>
      </c>
      <c r="F14" s="4" t="inlineStr">
        <is>
          <t>Nov-26</t>
        </is>
      </c>
      <c r="G14" s="4" t="inlineStr">
        <is>
          <t>Dec-26</t>
        </is>
      </c>
    </row>
    <row r="15">
      <c r="A15" s="11" t="inlineStr">
        <is>
          <t>Revenue</t>
        </is>
      </c>
      <c r="B15" s="19" t="n">
        <v>169.1</v>
      </c>
      <c r="C15" s="19" t="n">
        <v>169.1</v>
      </c>
      <c r="D15" s="19" t="n">
        <v>169.1</v>
      </c>
      <c r="E15" s="19" t="n">
        <v>169.1</v>
      </c>
      <c r="F15" s="19" t="n">
        <v>169.1</v>
      </c>
      <c r="G15" s="19" t="n">
        <v>169.1</v>
      </c>
    </row>
    <row r="16">
      <c r="A16" s="11" t="inlineStr">
        <is>
          <t>Direct labor</t>
        </is>
      </c>
      <c r="B16" s="19" t="n">
        <v>65</v>
      </c>
      <c r="C16" s="19" t="n">
        <v>65</v>
      </c>
      <c r="D16" s="19" t="n">
        <v>65</v>
      </c>
      <c r="E16" s="19" t="n">
        <v>65</v>
      </c>
      <c r="F16" s="19" t="n">
        <v>65</v>
      </c>
      <c r="G16" s="19" t="n">
        <v>65</v>
      </c>
    </row>
    <row r="17">
      <c r="A17" s="11" t="inlineStr">
        <is>
          <t>Gross Profit</t>
        </is>
      </c>
      <c r="B17" s="19" t="n">
        <v>104.1</v>
      </c>
      <c r="C17" s="19" t="n">
        <v>104.1</v>
      </c>
      <c r="D17" s="19" t="n">
        <v>104.1</v>
      </c>
      <c r="E17" s="19" t="n">
        <v>104.1</v>
      </c>
      <c r="F17" s="19" t="n">
        <v>104.1</v>
      </c>
      <c r="G17" s="19" t="n">
        <v>104.1</v>
      </c>
    </row>
    <row r="18">
      <c r="A18" s="11" t="inlineStr">
        <is>
          <t>Total Operating Expenses</t>
        </is>
      </c>
      <c r="B18" s="19" t="n">
        <v>92.5</v>
      </c>
      <c r="C18" s="19" t="n">
        <v>92.5</v>
      </c>
      <c r="D18" s="19" t="n">
        <v>92.5</v>
      </c>
      <c r="E18" s="19" t="n">
        <v>92.5</v>
      </c>
      <c r="F18" s="19" t="n">
        <v>92.5</v>
      </c>
      <c r="G18" s="19" t="n">
        <v>92.5</v>
      </c>
    </row>
    <row r="19">
      <c r="A19" s="11" t="inlineStr">
        <is>
          <t>Operating Income</t>
        </is>
      </c>
      <c r="B19" s="19" t="n">
        <v>11.6</v>
      </c>
      <c r="C19" s="19" t="n">
        <v>11.6</v>
      </c>
      <c r="D19" s="19" t="n">
        <v>11.6</v>
      </c>
      <c r="E19" s="19" t="n">
        <v>11.6</v>
      </c>
      <c r="F19" s="19" t="n">
        <v>11.6</v>
      </c>
      <c r="G19" s="19" t="n">
        <v>11.6</v>
      </c>
    </row>
    <row r="20">
      <c r="A20" s="11" t="inlineStr">
        <is>
          <t>Net Income</t>
        </is>
      </c>
      <c r="B20" s="19" t="n">
        <v>11.6</v>
      </c>
      <c r="C20" s="19" t="n">
        <v>11.6</v>
      </c>
      <c r="D20" s="19" t="n">
        <v>11.6</v>
      </c>
      <c r="E20" s="19" t="n">
        <v>11.6</v>
      </c>
      <c r="F20" s="19" t="n">
        <v>11.6</v>
      </c>
      <c r="G20" s="19" t="n">
        <v>11.6</v>
      </c>
    </row>
    <row r="22">
      <c r="A22" s="2" t="inlineStr">
        <is>
          <t>Budget carries $0 interest; the forecast accrues ~$5K/mo on the parent note — so forecast Net Income trails</t>
        </is>
      </c>
    </row>
    <row r="23">
      <c r="A23" s="2" t="inlineStr">
        <is>
          <t>budget by roughly that amount even at matched operating performance.</t>
        </is>
      </c>
    </row>
    <row r="24">
      <c r="A24" s="2" t="inlineStr">
        <is>
          <t>The full-year budget ($2,029K revenue / +$139K NI) is a flat 1/12 spread; H1 landed 46% under it, so the</t>
        </is>
      </c>
    </row>
    <row r="25">
      <c r="A25" s="2" t="inlineStr">
        <is>
          <t>meaningful compare is H2 forward — shown above — plus the FY landing on the FY Summary tab.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Cash &amp; Parent-Note Roll-Forward (all figures $K)</t>
        </is>
      </c>
    </row>
    <row r="2">
      <c r="A2" s="2" t="inlineStr">
        <is>
          <t>CVR holds no cash: deficits draw on the USC parent note, surpluses repay it. Interest accrues on the opening balance.</t>
        </is>
      </c>
    </row>
    <row r="4">
      <c r="A4" s="4" t="inlineStr">
        <is>
          <t>($K unless noted)</t>
        </is>
      </c>
      <c r="B4" s="4" t="inlineStr">
        <is>
          <t>Jul-26</t>
        </is>
      </c>
      <c r="C4" s="4" t="inlineStr">
        <is>
          <t>Aug-26</t>
        </is>
      </c>
      <c r="D4" s="4" t="inlineStr">
        <is>
          <t>Sep-26</t>
        </is>
      </c>
      <c r="E4" s="4" t="inlineStr">
        <is>
          <t>Oct-26</t>
        </is>
      </c>
      <c r="F4" s="4" t="inlineStr">
        <is>
          <t>Nov-26</t>
        </is>
      </c>
      <c r="G4" s="4" t="inlineStr">
        <is>
          <t>Dec-26</t>
        </is>
      </c>
      <c r="H4" s="4" t="inlineStr">
        <is>
          <t>Jan-27</t>
        </is>
      </c>
      <c r="I4" s="4" t="inlineStr">
        <is>
          <t>Feb-27</t>
        </is>
      </c>
      <c r="J4" s="4" t="inlineStr">
        <is>
          <t>Mar-27</t>
        </is>
      </c>
      <c r="K4" s="4" t="inlineStr">
        <is>
          <t>Apr-27</t>
        </is>
      </c>
      <c r="L4" s="4" t="inlineStr">
        <is>
          <t>May-27</t>
        </is>
      </c>
      <c r="M4" s="4" t="inlineStr">
        <is>
          <t>Jun-27</t>
        </is>
      </c>
      <c r="N4" s="4" t="inlineStr">
        <is>
          <t>Jul-27</t>
        </is>
      </c>
      <c r="O4" s="4" t="inlineStr">
        <is>
          <t>Aug-27</t>
        </is>
      </c>
      <c r="P4" s="4" t="inlineStr">
        <is>
          <t>Sep-27</t>
        </is>
      </c>
      <c r="Q4" s="4" t="inlineStr">
        <is>
          <t>Oct-27</t>
        </is>
      </c>
      <c r="R4" s="4" t="inlineStr">
        <is>
          <t>Nov-27</t>
        </is>
      </c>
      <c r="S4" s="4" t="inlineStr">
        <is>
          <t>Dec-27</t>
        </is>
      </c>
    </row>
    <row r="5">
      <c r="A5" t="inlineStr">
        <is>
          <t>Net Income / (Loss)</t>
        </is>
      </c>
      <c r="B5" s="19">
        <f>'Forecast P&amp;L'!B16</f>
        <v/>
      </c>
      <c r="C5" s="19">
        <f>'Forecast P&amp;L'!C16</f>
        <v/>
      </c>
      <c r="D5" s="19">
        <f>'Forecast P&amp;L'!D16</f>
        <v/>
      </c>
      <c r="E5" s="19">
        <f>'Forecast P&amp;L'!E16</f>
        <v/>
      </c>
      <c r="F5" s="19">
        <f>'Forecast P&amp;L'!F16</f>
        <v/>
      </c>
      <c r="G5" s="19">
        <f>'Forecast P&amp;L'!G16</f>
        <v/>
      </c>
      <c r="H5" s="19">
        <f>'Forecast P&amp;L'!H16</f>
        <v/>
      </c>
      <c r="I5" s="19">
        <f>'Forecast P&amp;L'!I16</f>
        <v/>
      </c>
      <c r="J5" s="19">
        <f>'Forecast P&amp;L'!J16</f>
        <v/>
      </c>
      <c r="K5" s="19">
        <f>'Forecast P&amp;L'!K16</f>
        <v/>
      </c>
      <c r="L5" s="19">
        <f>'Forecast P&amp;L'!L16</f>
        <v/>
      </c>
      <c r="M5" s="19">
        <f>'Forecast P&amp;L'!M16</f>
        <v/>
      </c>
      <c r="N5" s="19">
        <f>'Forecast P&amp;L'!N16</f>
        <v/>
      </c>
      <c r="O5" s="19">
        <f>'Forecast P&amp;L'!O16</f>
        <v/>
      </c>
      <c r="P5" s="19">
        <f>'Forecast P&amp;L'!P16</f>
        <v/>
      </c>
      <c r="Q5" s="19">
        <f>'Forecast P&amp;L'!Q16</f>
        <v/>
      </c>
      <c r="R5" s="19">
        <f>'Forecast P&amp;L'!R16</f>
        <v/>
      </c>
      <c r="S5" s="19">
        <f>'Forecast P&amp;L'!S16</f>
        <v/>
      </c>
    </row>
    <row r="6">
      <c r="A6" t="inlineStr">
        <is>
          <t>Opening note balance</t>
        </is>
      </c>
      <c r="B6" s="19" t="n">
        <v>3436.6</v>
      </c>
      <c r="C6" s="19">
        <f>B10</f>
        <v/>
      </c>
      <c r="D6" s="19">
        <f>C10</f>
        <v/>
      </c>
      <c r="E6" s="19">
        <f>D10</f>
        <v/>
      </c>
      <c r="F6" s="19">
        <f>E10</f>
        <v/>
      </c>
      <c r="G6" s="19">
        <f>F10</f>
        <v/>
      </c>
      <c r="H6" s="19">
        <f>G10</f>
        <v/>
      </c>
      <c r="I6" s="19">
        <f>H10</f>
        <v/>
      </c>
      <c r="J6" s="19">
        <f>I10</f>
        <v/>
      </c>
      <c r="K6" s="19">
        <f>J10</f>
        <v/>
      </c>
      <c r="L6" s="19">
        <f>K10</f>
        <v/>
      </c>
      <c r="M6" s="19">
        <f>L10</f>
        <v/>
      </c>
      <c r="N6" s="19">
        <f>M10</f>
        <v/>
      </c>
      <c r="O6" s="19">
        <f>N10</f>
        <v/>
      </c>
      <c r="P6" s="19">
        <f>O10</f>
        <v/>
      </c>
      <c r="Q6" s="19">
        <f>P10</f>
        <v/>
      </c>
      <c r="R6" s="19">
        <f>Q10</f>
        <v/>
      </c>
      <c r="S6" s="19">
        <f>R10</f>
        <v/>
      </c>
    </row>
    <row r="7">
      <c r="A7" t="inlineStr">
        <is>
          <t>AR balance (DSO × revenue)</t>
        </is>
      </c>
      <c r="B7" s="19">
        <f>'Forecast P&amp;L'!B6*Drivers!$B$18/30.4</f>
        <v/>
      </c>
      <c r="C7" s="19">
        <f>'Forecast P&amp;L'!C6*Drivers!$B$18/30.4</f>
        <v/>
      </c>
      <c r="D7" s="19">
        <f>'Forecast P&amp;L'!D6*Drivers!$B$18/30.4</f>
        <v/>
      </c>
      <c r="E7" s="19">
        <f>'Forecast P&amp;L'!E6*Drivers!$B$18/30.4</f>
        <v/>
      </c>
      <c r="F7" s="19">
        <f>'Forecast P&amp;L'!F6*Drivers!$B$18/30.4</f>
        <v/>
      </c>
      <c r="G7" s="19">
        <f>'Forecast P&amp;L'!G6*Drivers!$B$18/30.4</f>
        <v/>
      </c>
      <c r="H7" s="19">
        <f>'Forecast P&amp;L'!H6*Drivers!$B$18/30.4</f>
        <v/>
      </c>
      <c r="I7" s="19">
        <f>'Forecast P&amp;L'!I6*Drivers!$B$18/30.4</f>
        <v/>
      </c>
      <c r="J7" s="19">
        <f>'Forecast P&amp;L'!J6*Drivers!$B$18/30.4</f>
        <v/>
      </c>
      <c r="K7" s="19">
        <f>'Forecast P&amp;L'!K6*Drivers!$B$18/30.4</f>
        <v/>
      </c>
      <c r="L7" s="19">
        <f>'Forecast P&amp;L'!L6*Drivers!$B$18/30.4</f>
        <v/>
      </c>
      <c r="M7" s="19">
        <f>'Forecast P&amp;L'!M6*Drivers!$B$18/30.4</f>
        <v/>
      </c>
      <c r="N7" s="19">
        <f>'Forecast P&amp;L'!N6*Drivers!$B$18/30.4</f>
        <v/>
      </c>
      <c r="O7" s="19">
        <f>'Forecast P&amp;L'!O6*Drivers!$B$18/30.4</f>
        <v/>
      </c>
      <c r="P7" s="19">
        <f>'Forecast P&amp;L'!P6*Drivers!$B$18/30.4</f>
        <v/>
      </c>
      <c r="Q7" s="19">
        <f>'Forecast P&amp;L'!Q6*Drivers!$B$18/30.4</f>
        <v/>
      </c>
      <c r="R7" s="19">
        <f>'Forecast P&amp;L'!R6*Drivers!$B$18/30.4</f>
        <v/>
      </c>
      <c r="S7" s="19">
        <f>'Forecast P&amp;L'!S6*Drivers!$B$18/30.4</f>
        <v/>
      </c>
    </row>
    <row r="8">
      <c r="A8" t="inlineStr">
        <is>
          <t>Δ AR</t>
        </is>
      </c>
      <c r="B8" s="19">
        <f>B7-139.8</f>
        <v/>
      </c>
      <c r="C8" s="19">
        <f>C7-B7</f>
        <v/>
      </c>
      <c r="D8" s="19">
        <f>D7-C7</f>
        <v/>
      </c>
      <c r="E8" s="19">
        <f>E7-D7</f>
        <v/>
      </c>
      <c r="F8" s="19">
        <f>F7-E7</f>
        <v/>
      </c>
      <c r="G8" s="19">
        <f>G7-F7</f>
        <v/>
      </c>
      <c r="H8" s="19">
        <f>H7-G7</f>
        <v/>
      </c>
      <c r="I8" s="19">
        <f>I7-H7</f>
        <v/>
      </c>
      <c r="J8" s="19">
        <f>J7-I7</f>
        <v/>
      </c>
      <c r="K8" s="19">
        <f>K7-J7</f>
        <v/>
      </c>
      <c r="L8" s="19">
        <f>L7-K7</f>
        <v/>
      </c>
      <c r="M8" s="19">
        <f>M7-L7</f>
        <v/>
      </c>
      <c r="N8" s="19">
        <f>N7-M7</f>
        <v/>
      </c>
      <c r="O8" s="19">
        <f>O7-N7</f>
        <v/>
      </c>
      <c r="P8" s="19">
        <f>P7-O7</f>
        <v/>
      </c>
      <c r="Q8" s="19">
        <f>Q7-P7</f>
        <v/>
      </c>
      <c r="R8" s="19">
        <f>R7-Q7</f>
        <v/>
      </c>
      <c r="S8" s="19">
        <f>S7-R7</f>
        <v/>
      </c>
    </row>
    <row r="9">
      <c r="A9" s="3" t="inlineStr">
        <is>
          <t>Operating cash flow</t>
        </is>
      </c>
      <c r="B9" s="19">
        <f>B5-B8</f>
        <v/>
      </c>
      <c r="C9" s="19">
        <f>C5-C8</f>
        <v/>
      </c>
      <c r="D9" s="19">
        <f>D5-D8</f>
        <v/>
      </c>
      <c r="E9" s="19">
        <f>E5-E8</f>
        <v/>
      </c>
      <c r="F9" s="19">
        <f>F5-F8</f>
        <v/>
      </c>
      <c r="G9" s="19">
        <f>G5-G8</f>
        <v/>
      </c>
      <c r="H9" s="19">
        <f>H5-H8</f>
        <v/>
      </c>
      <c r="I9" s="19">
        <f>I5-I8</f>
        <v/>
      </c>
      <c r="J9" s="19">
        <f>J5-J8</f>
        <v/>
      </c>
      <c r="K9" s="19">
        <f>K5-K8</f>
        <v/>
      </c>
      <c r="L9" s="19">
        <f>L5-L8</f>
        <v/>
      </c>
      <c r="M9" s="19">
        <f>M5-M8</f>
        <v/>
      </c>
      <c r="N9" s="19">
        <f>N5-N8</f>
        <v/>
      </c>
      <c r="O9" s="19">
        <f>O5-O8</f>
        <v/>
      </c>
      <c r="P9" s="19">
        <f>P5-P8</f>
        <v/>
      </c>
      <c r="Q9" s="19">
        <f>Q5-Q8</f>
        <v/>
      </c>
      <c r="R9" s="19">
        <f>R5-R8</f>
        <v/>
      </c>
      <c r="S9" s="19">
        <f>S5-S8</f>
        <v/>
      </c>
    </row>
    <row r="10">
      <c r="A10" s="3" t="inlineStr">
        <is>
          <t>Closing note balance</t>
        </is>
      </c>
      <c r="B10" s="19">
        <f>B6-B9</f>
        <v/>
      </c>
      <c r="C10" s="19">
        <f>C6-C9</f>
        <v/>
      </c>
      <c r="D10" s="19">
        <f>D6-D9</f>
        <v/>
      </c>
      <c r="E10" s="19">
        <f>E6-E9</f>
        <v/>
      </c>
      <c r="F10" s="19">
        <f>F6-F9</f>
        <v/>
      </c>
      <c r="G10" s="19">
        <f>G6-G9</f>
        <v/>
      </c>
      <c r="H10" s="19">
        <f>H6-H9</f>
        <v/>
      </c>
      <c r="I10" s="19">
        <f>I6-I9</f>
        <v/>
      </c>
      <c r="J10" s="19">
        <f>J6-J9</f>
        <v/>
      </c>
      <c r="K10" s="19">
        <f>K6-K9</f>
        <v/>
      </c>
      <c r="L10" s="19">
        <f>L6-L9</f>
        <v/>
      </c>
      <c r="M10" s="19">
        <f>M6-M9</f>
        <v/>
      </c>
      <c r="N10" s="19">
        <f>N6-N9</f>
        <v/>
      </c>
      <c r="O10" s="19">
        <f>O6-O9</f>
        <v/>
      </c>
      <c r="P10" s="19">
        <f>P6-P9</f>
        <v/>
      </c>
      <c r="Q10" s="19">
        <f>Q6-Q9</f>
        <v/>
      </c>
      <c r="R10" s="19">
        <f>R6-R9</f>
        <v/>
      </c>
      <c r="S10" s="19">
        <f>S6-S9</f>
        <v/>
      </c>
    </row>
    <row r="12">
      <c r="A12" s="2" t="inlineStr">
        <is>
          <t>Opening note balance 6/30/26: $3,436.6K. The official budget expects a $157.8K paydown by year-end; this tab shows what the driver-based forecast actually implies.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2" customWidth="1" min="3" max="3"/>
    <col width="12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Backlog, Pipeline, and Forecast Coverage (all figures $K)</t>
        </is>
      </c>
    </row>
    <row r="2">
      <c r="A2" s="2" t="inlineStr">
        <is>
          <t>Backlog = remaining PO value on active jobs (KPI scorecard 7/11/26). Pipeline = pending bids × win probability.</t>
        </is>
      </c>
    </row>
    <row r="4">
      <c r="A4" s="4" t="inlineStr">
        <is>
          <t>Job</t>
        </is>
      </c>
      <c r="B4" s="4" t="inlineStr">
        <is>
          <t>Customer / name</t>
        </is>
      </c>
      <c r="C4" s="4" t="inlineStr">
        <is>
          <t>PO value</t>
        </is>
      </c>
      <c r="D4" s="4" t="inlineStr">
        <is>
          <t>Billed to date</t>
        </is>
      </c>
      <c r="E4" s="4" t="inlineStr">
        <is>
          <t>Remaining</t>
        </is>
      </c>
      <c r="F4" s="4" t="inlineStr">
        <is>
          <t>Sched. finish</t>
        </is>
      </c>
      <c r="G4" s="4" t="inlineStr">
        <is>
          <t>Note</t>
        </is>
      </c>
    </row>
    <row r="5">
      <c r="A5" s="11" t="inlineStr">
        <is>
          <t>001-0001</t>
        </is>
      </c>
      <c r="B5" s="11" t="inlineStr">
        <is>
          <t>DTE — Catalina Conversion Ph 3</t>
        </is>
      </c>
      <c r="C5" s="19" t="n">
        <v>838.451</v>
      </c>
      <c r="D5" s="19" t="n">
        <v>806.331</v>
      </c>
      <c r="E5" s="19">
        <f>C5-D5</f>
        <v/>
      </c>
      <c r="F5" s="11" t="inlineStr">
        <is>
          <t>2026</t>
        </is>
      </c>
      <c r="G5" s="13" t="inlineStr">
        <is>
          <t>construction support tail</t>
        </is>
      </c>
    </row>
    <row r="6">
      <c r="A6" s="11" t="inlineStr">
        <is>
          <t>001-0003</t>
        </is>
      </c>
      <c r="B6" s="11" t="inlineStr">
        <is>
          <t>DTE — New Baltimore Conversion</t>
        </is>
      </c>
      <c r="C6" s="19" t="n">
        <v>1428.796</v>
      </c>
      <c r="D6" s="19" t="n">
        <v>1216.312</v>
      </c>
      <c r="E6" s="19">
        <f>C6-D6</f>
        <v/>
      </c>
      <c r="F6" s="11" t="inlineStr">
        <is>
          <t>Dec-27</t>
        </is>
      </c>
      <c r="G6" s="13" t="inlineStr">
        <is>
          <t>64% complete</t>
        </is>
      </c>
    </row>
    <row r="7">
      <c r="A7" s="11" t="inlineStr">
        <is>
          <t>005-0004</t>
        </is>
      </c>
      <c r="B7" s="11" t="inlineStr">
        <is>
          <t>Consumers — 2026 HVD Line Sensors</t>
        </is>
      </c>
      <c r="C7" s="19" t="n">
        <v>130.493</v>
      </c>
      <c r="D7" s="19" t="n">
        <v>71.268</v>
      </c>
      <c r="E7" s="19">
        <f>C7-D7</f>
        <v/>
      </c>
      <c r="F7" s="11" t="inlineStr">
        <is>
          <t>Oct-26</t>
        </is>
      </c>
      <c r="G7" s="13" t="inlineStr">
        <is>
          <t>77% complete</t>
        </is>
      </c>
    </row>
    <row r="8">
      <c r="A8" s="11" t="inlineStr">
        <is>
          <t>016-0001</t>
        </is>
      </c>
      <c r="B8" s="11" t="inlineStr">
        <is>
          <t>Cloverland — Manistique Pump Stn</t>
        </is>
      </c>
      <c r="C8" s="19" t="n">
        <v>111.51</v>
      </c>
      <c r="D8" s="19" t="n">
        <v>106.628</v>
      </c>
      <c r="E8" s="19">
        <f>C8-D8</f>
        <v/>
      </c>
      <c r="F8" s="11" t="inlineStr">
        <is>
          <t>Sep-26</t>
        </is>
      </c>
      <c r="G8" s="13" t="inlineStr">
        <is>
          <t>99% — cost overrun job</t>
        </is>
      </c>
    </row>
    <row r="9">
      <c r="A9" s="11" t="inlineStr">
        <is>
          <t>017-0003</t>
        </is>
      </c>
      <c r="B9" s="11" t="inlineStr">
        <is>
          <t>CenterPoint — Gateway 69kV</t>
        </is>
      </c>
      <c r="C9" s="19" t="n">
        <v>203.015</v>
      </c>
      <c r="D9" s="19" t="n">
        <v>131.23</v>
      </c>
      <c r="E9" s="19">
        <f>C9-D9</f>
        <v/>
      </c>
      <c r="F9" s="11" t="inlineStr">
        <is>
          <t>Aug-26</t>
        </is>
      </c>
      <c r="G9" s="13" t="inlineStr">
        <is>
          <t>65% complete</t>
        </is>
      </c>
    </row>
    <row r="10">
      <c r="A10" s="11" t="inlineStr">
        <is>
          <t>017-0004</t>
        </is>
      </c>
      <c r="B10" s="11" t="inlineStr">
        <is>
          <t>CenterPoint — Rockport 69kV</t>
        </is>
      </c>
      <c r="C10" s="19" t="n">
        <v>96.712</v>
      </c>
      <c r="D10" s="19" t="n">
        <v>81.69199999999999</v>
      </c>
      <c r="E10" s="19">
        <f>C10-D10</f>
        <v/>
      </c>
      <c r="F10" s="11" t="inlineStr">
        <is>
          <t>Aug-26</t>
        </is>
      </c>
      <c r="G10" s="13" t="inlineStr">
        <is>
          <t>88% complete</t>
        </is>
      </c>
    </row>
    <row r="11">
      <c r="A11" s="11" t="inlineStr">
        <is>
          <t>017-0005</t>
        </is>
      </c>
      <c r="B11" s="11" t="inlineStr">
        <is>
          <t>CenterPoint — Angel Mounds 69kV</t>
        </is>
      </c>
      <c r="C11" s="19" t="n">
        <v>96.98699999999999</v>
      </c>
      <c r="D11" s="19" t="n">
        <v>95.148</v>
      </c>
      <c r="E11" s="19">
        <f>C11-D11</f>
        <v/>
      </c>
      <c r="F11" s="11" t="inlineStr">
        <is>
          <t>Oct-26</t>
        </is>
      </c>
      <c r="G11" s="13" t="inlineStr">
        <is>
          <t>88% complete</t>
        </is>
      </c>
    </row>
    <row r="12">
      <c r="A12" s="11" t="inlineStr">
        <is>
          <t>017-0006</t>
        </is>
      </c>
      <c r="B12" s="11" t="inlineStr">
        <is>
          <t>CenterPoint — Northwest 69kV</t>
        </is>
      </c>
      <c r="C12" s="19" t="n">
        <v>110.555</v>
      </c>
      <c r="D12" s="19" t="n">
        <v>4.365</v>
      </c>
      <c r="E12" s="19">
        <f>C12-D12</f>
        <v/>
      </c>
      <c r="F12" s="11" t="inlineStr">
        <is>
          <t>Aug-27</t>
        </is>
      </c>
      <c r="G12" s="13" t="inlineStr">
        <is>
          <t>13% — early</t>
        </is>
      </c>
    </row>
    <row r="13">
      <c r="A13" s="11" t="inlineStr">
        <is>
          <t>017-0007</t>
        </is>
      </c>
      <c r="B13" s="11" t="inlineStr">
        <is>
          <t>CenterPoint — Leonard Rd 69kV</t>
        </is>
      </c>
      <c r="C13" s="19" t="n">
        <v>199.994</v>
      </c>
      <c r="D13" s="19" t="n">
        <v>6.739</v>
      </c>
      <c r="E13" s="19">
        <f>C13-D13</f>
        <v/>
      </c>
      <c r="F13" s="11" t="inlineStr">
        <is>
          <t>Oct-27</t>
        </is>
      </c>
      <c r="G13" s="13" t="inlineStr">
        <is>
          <t>17% — early</t>
        </is>
      </c>
    </row>
    <row r="14">
      <c r="A14" s="11" t="inlineStr">
        <is>
          <t>(new)</t>
        </is>
      </c>
      <c r="B14" s="11" t="inlineStr">
        <is>
          <t>Consumers — 2026 Pole Replacements</t>
        </is>
      </c>
      <c r="C14" s="19" t="n">
        <v>300</v>
      </c>
      <c r="D14" s="19" t="n">
        <v>0</v>
      </c>
      <c r="E14" s="19">
        <f>C14-D14</f>
        <v/>
      </c>
      <c r="F14" s="11" t="inlineStr">
        <is>
          <t>Dec-27</t>
        </is>
      </c>
      <c r="G14" s="13" t="inlineStr">
        <is>
          <t>WON — award $300K; EPC-paired $3.45M</t>
        </is>
      </c>
    </row>
    <row r="15">
      <c r="B15" s="3" t="inlineStr">
        <is>
          <t>Total backlog remaining</t>
        </is>
      </c>
      <c r="E15" s="24">
        <f>SUM(E5:E14)</f>
        <v/>
      </c>
    </row>
    <row r="17">
      <c r="A17" s="3" t="inlineStr">
        <is>
          <t>PIPELINE — pending bids (CVR scope)</t>
        </is>
      </c>
    </row>
    <row r="18">
      <c r="A18" s="4" t="inlineStr">
        <is>
          <t>Bid</t>
        </is>
      </c>
      <c r="B18" s="4" t="inlineStr">
        <is>
          <t>Customer</t>
        </is>
      </c>
      <c r="C18" s="4" t="inlineStr">
        <is>
          <t>CVR value</t>
        </is>
      </c>
      <c r="D18" s="4" t="inlineStr">
        <is>
          <t>Win prob.</t>
        </is>
      </c>
      <c r="E18" s="4" t="inlineStr">
        <is>
          <t>Expected</t>
        </is>
      </c>
      <c r="F18" s="4" t="inlineStr">
        <is>
          <t>Expected award</t>
        </is>
      </c>
    </row>
    <row r="19">
      <c r="A19" s="11" t="inlineStr">
        <is>
          <t>Frontier Make Ready</t>
        </is>
      </c>
      <c r="B19" s="11" t="inlineStr">
        <is>
          <t>Steuben County REMC</t>
        </is>
      </c>
      <c r="C19" s="19" t="n">
        <v>100</v>
      </c>
      <c r="D19" s="7" t="n">
        <v>0.5</v>
      </c>
      <c r="E19" s="19">
        <f>C19*D19</f>
        <v/>
      </c>
      <c r="F19" s="11" t="inlineStr">
        <is>
          <t>Q3-26</t>
        </is>
      </c>
    </row>
    <row r="20">
      <c r="A20" s="11" t="inlineStr">
        <is>
          <t>Jacksonburg–Gateway (EPC-paired $3.55M)</t>
        </is>
      </c>
      <c r="B20" s="11" t="inlineStr">
        <is>
          <t>Hoosier Energy</t>
        </is>
      </c>
      <c r="C20" s="19" t="n">
        <v>160</v>
      </c>
      <c r="D20" s="7" t="n">
        <v>0.5</v>
      </c>
      <c r="E20" s="19">
        <f>C20*D20</f>
        <v/>
      </c>
      <c r="F20" s="11" t="inlineStr">
        <is>
          <t>Q4-26</t>
        </is>
      </c>
    </row>
    <row r="21">
      <c r="A21" s="11" t="inlineStr">
        <is>
          <t>Rosehill–Rockport (EPC-paired $5.59M)</t>
        </is>
      </c>
      <c r="B21" s="11" t="inlineStr">
        <is>
          <t>Hoosier Energy</t>
        </is>
      </c>
      <c r="C21" s="19" t="n">
        <v>290</v>
      </c>
      <c r="D21" s="7" t="n">
        <v>0.5</v>
      </c>
      <c r="E21" s="19">
        <f>C21*D21</f>
        <v/>
      </c>
      <c r="F21" s="11" t="inlineStr">
        <is>
          <t>Q4-26</t>
        </is>
      </c>
    </row>
    <row r="22">
      <c r="A22" s="11" t="inlineStr">
        <is>
          <t>Joint Use Audit</t>
        </is>
      </c>
      <c r="B22" s="11" t="inlineStr">
        <is>
          <t>Lansing Board of Water &amp; Light</t>
        </is>
      </c>
      <c r="C22" s="19" t="n">
        <v>1350</v>
      </c>
      <c r="D22" s="7" t="n">
        <v>0.5</v>
      </c>
      <c r="E22" s="19">
        <f>C22*D22</f>
        <v/>
      </c>
      <c r="F22" s="11" t="inlineStr">
        <is>
          <t>Q4-26</t>
        </is>
      </c>
    </row>
    <row r="23">
      <c r="A23" s="11" t="inlineStr">
        <is>
          <t>Renaissance 345kV Substation (ON HOLD)</t>
        </is>
      </c>
      <c r="B23" s="11" t="inlineStr">
        <is>
          <t>DTE Energy</t>
        </is>
      </c>
      <c r="C23" s="19" t="n">
        <v>0</v>
      </c>
      <c r="D23" s="7" t="n">
        <v>0</v>
      </c>
      <c r="E23" s="19">
        <f>C23*D23</f>
        <v/>
      </c>
      <c r="F23" s="11" t="inlineStr">
        <is>
          <t>hold</t>
        </is>
      </c>
    </row>
    <row r="24">
      <c r="B24" s="3" t="inlineStr">
        <is>
          <t>Total probability-weighted pipeline</t>
        </is>
      </c>
      <c r="E24" s="24">
        <f>SUM(E19:E23)</f>
        <v/>
      </c>
    </row>
    <row r="26">
      <c r="A26" s="3" t="inlineStr">
        <is>
          <t>COVERAGE CHECK</t>
        </is>
      </c>
    </row>
    <row r="27">
      <c r="A27" s="11" t="inlineStr">
        <is>
          <t>Forecast revenue, Jul-26 – Dec-27</t>
        </is>
      </c>
      <c r="B27" s="19">
        <f>'Forecast P&amp;L'!T6+'Forecast P&amp;L'!U6</f>
        <v/>
      </c>
    </row>
    <row r="28">
      <c r="A28" s="11" t="inlineStr">
        <is>
          <t>Booked + expected work (backlog + weighted pipeline)</t>
        </is>
      </c>
      <c r="B28" s="19">
        <f>E15+E24</f>
        <v/>
      </c>
    </row>
    <row r="29">
      <c r="A29" s="11" t="inlineStr">
        <is>
          <t>Coverage ratio</t>
        </is>
      </c>
      <c r="B29" s="10">
        <f>B28/B27</f>
        <v/>
      </c>
    </row>
    <row r="31">
      <c r="A31" s="2" t="inlineStr">
        <is>
          <t>Coverage below 100% is normal at an 18-month horizon — the gap is work still to be won. But if coverage falls much below ~60%, the forecast is leaning on unidentified sales; treat the gap as the BD target: it quantifies how much new work Estimating must originate beyond the current bid list.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4" customWidth="1" min="5" max="5"/>
    <col width="13" customWidth="1" min="6" max="6"/>
  </cols>
  <sheetData>
    <row r="1">
      <c r="A1" s="1" t="inlineStr">
        <is>
          <t>Fiscal-Year Summary — Actual · Budget · Forecast (all figures $K)</t>
        </is>
      </c>
    </row>
    <row r="2">
      <c r="A2" s="2" t="inlineStr">
        <is>
          <t>FY2026 = H1 actual (GL) + H2 forecast. FY2027 = forecast vs the $6M Year-2 divisional goal.</t>
        </is>
      </c>
    </row>
    <row r="4">
      <c r="A4" s="4" t="inlineStr">
        <is>
          <t>FY2026</t>
        </is>
      </c>
      <c r="B4" s="4" t="inlineStr">
        <is>
          <t>H1 Actual</t>
        </is>
      </c>
      <c r="C4" s="4" t="inlineStr">
        <is>
          <t>H2 Forecast</t>
        </is>
      </c>
      <c r="D4" s="4" t="inlineStr">
        <is>
          <t>FY Total</t>
        </is>
      </c>
      <c r="E4" s="4" t="inlineStr">
        <is>
          <t>Official Budget</t>
        </is>
      </c>
      <c r="F4" s="4" t="inlineStr">
        <is>
          <t>FY vs Budget</t>
        </is>
      </c>
    </row>
    <row r="5">
      <c r="A5" s="11" t="inlineStr">
        <is>
          <t>Revenue</t>
        </is>
      </c>
      <c r="B5" s="19" t="n">
        <v>551</v>
      </c>
      <c r="C5" s="19">
        <f>'Forecast P&amp;L'!T6</f>
        <v/>
      </c>
      <c r="D5" s="23">
        <f>B5+C5</f>
        <v/>
      </c>
      <c r="E5" s="19" t="n">
        <v>2029.1</v>
      </c>
      <c r="F5" s="19">
        <f>D5-E5</f>
        <v/>
      </c>
    </row>
    <row r="6">
      <c r="A6" s="11" t="inlineStr">
        <is>
          <t>Gross Profit</t>
        </is>
      </c>
      <c r="B6" s="19" t="n">
        <v>122.5</v>
      </c>
      <c r="C6" s="19">
        <f>'Forecast P&amp;L'!T8</f>
        <v/>
      </c>
      <c r="D6" s="23">
        <f>B6+C6</f>
        <v/>
      </c>
      <c r="E6" s="19" t="n">
        <v>1249.4</v>
      </c>
      <c r="F6" s="19">
        <f>D6-E6</f>
        <v/>
      </c>
    </row>
    <row r="7">
      <c r="A7" s="11" t="inlineStr">
        <is>
          <t>Operating Income / (Loss)</t>
        </is>
      </c>
      <c r="B7" s="19" t="n">
        <v>-290.5</v>
      </c>
      <c r="C7" s="19">
        <f>'Forecast P&amp;L'!T14</f>
        <v/>
      </c>
      <c r="D7" s="23">
        <f>B7+C7</f>
        <v/>
      </c>
      <c r="E7" s="19" t="n">
        <v>139.4</v>
      </c>
      <c r="F7" s="19">
        <f>D7-E7</f>
        <v/>
      </c>
    </row>
    <row r="8">
      <c r="A8" s="11" t="inlineStr">
        <is>
          <t>Interest</t>
        </is>
      </c>
      <c r="B8" s="19" t="n">
        <v>30.1</v>
      </c>
      <c r="C8" s="19">
        <f>'Forecast P&amp;L'!T15</f>
        <v/>
      </c>
      <c r="D8" s="23">
        <f>B8+C8</f>
        <v/>
      </c>
      <c r="E8" s="19" t="n">
        <v>0</v>
      </c>
      <c r="F8" s="19">
        <f>D8-E8</f>
        <v/>
      </c>
    </row>
    <row r="9">
      <c r="A9" s="11" t="inlineStr">
        <is>
          <t>Net Income / (Loss)</t>
        </is>
      </c>
      <c r="B9" s="19" t="n">
        <v>-320.5</v>
      </c>
      <c r="C9" s="19">
        <f>'Forecast P&amp;L'!T16</f>
        <v/>
      </c>
      <c r="D9" s="23">
        <f>B9+C9</f>
        <v/>
      </c>
      <c r="E9" s="19" t="n">
        <v>139.4</v>
      </c>
      <c r="F9" s="19">
        <f>D9-E9</f>
        <v/>
      </c>
    </row>
    <row r="10">
      <c r="A10" s="11" t="inlineStr">
        <is>
          <t>OILI return % (FY)</t>
        </is>
      </c>
      <c r="B10" s="21">
        <f>(D7-D8)/D5</f>
        <v/>
      </c>
    </row>
    <row r="11">
      <c r="A11" s="11" t="inlineStr">
        <is>
          <t>Note balance at 12/31/26</t>
        </is>
      </c>
      <c r="B11" s="25">
        <f>'Cash &amp; Note'!G10</f>
        <v/>
      </c>
    </row>
    <row r="13">
      <c r="A13" s="4" t="inlineStr">
        <is>
          <t>FY2027</t>
        </is>
      </c>
      <c r="B13" s="4" t="inlineStr">
        <is>
          <t>Forecast</t>
        </is>
      </c>
      <c r="C13" s="4" t="inlineStr">
        <is>
          <t>Year-2 Goal</t>
        </is>
      </c>
      <c r="D13" s="4" t="inlineStr">
        <is>
          <t>% of goal</t>
        </is>
      </c>
    </row>
    <row r="14">
      <c r="A14" s="11" t="inlineStr">
        <is>
          <t>Revenue</t>
        </is>
      </c>
      <c r="B14" s="19">
        <f>'Forecast P&amp;L'!U6</f>
        <v/>
      </c>
      <c r="C14" s="19" t="n">
        <v>6000</v>
      </c>
      <c r="D14" s="10">
        <f>B14/C14</f>
        <v/>
      </c>
    </row>
    <row r="15">
      <c r="A15" s="11" t="inlineStr">
        <is>
          <t>Gross Profit</t>
        </is>
      </c>
      <c r="B15" s="19">
        <f>'Forecast P&amp;L'!U8</f>
        <v/>
      </c>
    </row>
    <row r="16">
      <c r="A16" s="11" t="inlineStr">
        <is>
          <t>Operating Income / (Loss)</t>
        </is>
      </c>
      <c r="B16" s="19">
        <f>'Forecast P&amp;L'!U14</f>
        <v/>
      </c>
    </row>
    <row r="17">
      <c r="A17" s="11" t="inlineStr">
        <is>
          <t>Net Income / (Loss)</t>
        </is>
      </c>
      <c r="B17" s="19">
        <f>'Forecast P&amp;L'!U16</f>
        <v/>
      </c>
    </row>
    <row r="18">
      <c r="A18" s="11" t="inlineStr">
        <is>
          <t>OILI return % (FY27)</t>
        </is>
      </c>
      <c r="B18" s="21">
        <f>('Forecast P&amp;L'!U14-'Forecast P&amp;L'!U15)/'Forecast P&amp;L'!U6</f>
        <v/>
      </c>
    </row>
    <row r="19">
      <c r="A19" s="11" t="inlineStr">
        <is>
          <t>Note balance at 12/31/27</t>
        </is>
      </c>
      <c r="B19" s="25">
        <f>'Cash &amp; Note'!S10</f>
        <v/>
      </c>
    </row>
    <row r="21">
      <c r="A21" s="2" t="inlineStr">
        <is>
          <t>The gap between FY27 forecast revenue and the $6M goal is structural (billable capacity), not effort: closing it requires the hiring ramp AND winning EPC-paired engineering at scale — see the utilization × realization grid in the Phase 1 workbook for the per-FTE ceiling math.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Revised Business Model — EPC at Scale: CVR earns engineering + material margin</t>
        </is>
      </c>
    </row>
    <row r="2">
      <c r="A2" s="2" t="inlineStr">
        <is>
          <t>Steady-state illustration at $150M/yr EPC (NOT the near-term forecast). CVR takes engineering scope + material margin; HWC keeps equipment + labor margin. Blue = input; grey = calculated.</t>
        </is>
      </c>
    </row>
    <row r="4">
      <c r="A4" s="3" t="inlineStr">
        <is>
          <t>DRIVERS — edit the blue cells</t>
        </is>
      </c>
    </row>
    <row r="5">
      <c r="A5" t="inlineStr">
        <is>
          <t>EPC program volume ($M/yr)</t>
        </is>
      </c>
      <c r="B5" s="26" t="n">
        <v>150</v>
      </c>
      <c r="C5" s="2" t="inlineStr">
        <is>
          <t>Consolidated EPC run-rate (HWC + CVR)</t>
        </is>
      </c>
    </row>
    <row r="6">
      <c r="A6" t="inlineStr">
        <is>
          <t>CVR materials share of EPC</t>
        </is>
      </c>
      <c r="B6" s="7" t="n">
        <v>0.35</v>
      </c>
      <c r="C6" s="2" t="inlineStr">
        <is>
          <t>Materials through CVR; major equipment stays with HWC</t>
        </is>
      </c>
    </row>
    <row r="7">
      <c r="A7" t="inlineStr">
        <is>
          <t>Material gross margin</t>
        </is>
      </c>
      <c r="B7" s="7" t="n">
        <v>0.13</v>
      </c>
      <c r="C7" s="2" t="inlineStr">
        <is>
          <t>CVR procurement markup on materials</t>
        </is>
      </c>
    </row>
    <row r="8">
      <c r="A8" t="inlineStr">
        <is>
          <t>Procurement + WC carry (pts of flow)</t>
        </is>
      </c>
      <c r="B8" s="7" t="n">
        <v>0.02</v>
      </c>
      <c r="C8" s="2" t="inlineStr">
        <is>
          <t>Purchasing staff + working-capital carry</t>
        </is>
      </c>
    </row>
    <row r="9">
      <c r="A9" t="inlineStr">
        <is>
          <t>Engineering pull-through (% of EPC)</t>
        </is>
      </c>
      <c r="B9" s="7" t="n">
        <v>0.08</v>
      </c>
      <c r="C9" s="2" t="inlineStr">
        <is>
          <t>CVR engineering scope at this scale</t>
        </is>
      </c>
    </row>
    <row r="10">
      <c r="A10" t="inlineStr">
        <is>
          <t>Engineering gross margin</t>
        </is>
      </c>
      <c r="B10" s="7" t="n">
        <v>0.6</v>
      </c>
      <c r="C10" s="2" t="inlineStr">
        <is>
          <t>Engineering revenue less direct labor</t>
        </is>
      </c>
    </row>
    <row r="11">
      <c r="A11" t="inlineStr">
        <is>
          <t>Engineering operating margin</t>
        </is>
      </c>
      <c r="B11" s="7" t="n">
        <v>0.15</v>
      </c>
      <c r="C11" s="2" t="inlineStr">
        <is>
          <t>Engineering OI as % of eng revenue, at scale</t>
        </is>
      </c>
    </row>
    <row r="12">
      <c r="A12" t="inlineStr">
        <is>
          <t>Working-capital carry (days of flow)</t>
        </is>
      </c>
      <c r="B12" s="5" t="n">
        <v>45</v>
      </c>
      <c r="C12" s="2" t="inlineStr">
        <is>
          <t>Days from paying suppliers to reimbursement</t>
        </is>
      </c>
    </row>
    <row r="14">
      <c r="A14" s="3" t="inlineStr">
        <is>
          <t>MATERIAL PROCUREMENT — CVR as principal ($M)</t>
        </is>
      </c>
    </row>
    <row r="15">
      <c r="A15" t="inlineStr">
        <is>
          <t>Materials revenue (billed)</t>
        </is>
      </c>
      <c r="B15" s="27">
        <f>B5*B6</f>
        <v/>
      </c>
    </row>
    <row r="16">
      <c r="A16" t="inlineStr">
        <is>
          <t>Materials cost (COGS, at cost)</t>
        </is>
      </c>
      <c r="B16" s="27">
        <f>B15*(1-B7)</f>
        <v/>
      </c>
    </row>
    <row r="17">
      <c r="A17" t="inlineStr">
        <is>
          <t>Material gross margin</t>
        </is>
      </c>
      <c r="B17" s="27">
        <f>B15*B7</f>
        <v/>
      </c>
      <c r="C17" s="28">
        <f>B7</f>
        <v/>
      </c>
    </row>
    <row r="18">
      <c r="A18" t="inlineStr">
        <is>
          <t>Procurement + working-capital cost</t>
        </is>
      </c>
      <c r="B18" s="27">
        <f>B15*B8</f>
        <v/>
      </c>
    </row>
    <row r="19">
      <c r="A19" s="3" t="inlineStr">
        <is>
          <t>Material net contribution</t>
        </is>
      </c>
      <c r="B19" s="29">
        <f>B17-B18</f>
        <v/>
      </c>
    </row>
    <row r="21">
      <c r="A21" s="3" t="inlineStr">
        <is>
          <t>ENGINEERING SERVICES ($M)</t>
        </is>
      </c>
    </row>
    <row r="22">
      <c r="A22" t="inlineStr">
        <is>
          <t>Engineering revenue</t>
        </is>
      </c>
      <c r="B22" s="27">
        <f>B5*B9</f>
        <v/>
      </c>
    </row>
    <row r="23">
      <c r="A23" t="inlineStr">
        <is>
          <t>Engineering gross profit</t>
        </is>
      </c>
      <c r="B23" s="27">
        <f>B22*B10</f>
        <v/>
      </c>
    </row>
    <row r="24">
      <c r="A24" s="3" t="inlineStr">
        <is>
          <t>Engineering operating income</t>
        </is>
      </c>
      <c r="B24" s="29">
        <f>B22*B11</f>
        <v/>
      </c>
    </row>
    <row r="25">
      <c r="A25" t="inlineStr">
        <is>
          <t>Engineering OpEx (= GP − OI)</t>
        </is>
      </c>
      <c r="B25" s="27">
        <f>B23-B24</f>
        <v/>
      </c>
    </row>
    <row r="27">
      <c r="A27" s="3" t="inlineStr">
        <is>
          <t>COMBINED CVR — STEADY STATE ($M)</t>
        </is>
      </c>
    </row>
    <row r="28">
      <c r="A28" t="inlineStr">
        <is>
          <t>CVR revenue — gross / principal basis</t>
        </is>
      </c>
      <c r="B28" s="27">
        <f>B22+B15</f>
        <v/>
      </c>
      <c r="C28" s="2" t="inlineStr">
        <is>
          <t>CVR takes title to materials</t>
        </is>
      </c>
    </row>
    <row r="29">
      <c r="A29" s="3" t="inlineStr">
        <is>
          <t>CVR revenue — managed-margin basis</t>
        </is>
      </c>
      <c r="B29" s="29">
        <f>B22+B17</f>
        <v/>
      </c>
      <c r="C29" s="2" t="inlineStr">
        <is>
          <t>engineering + material margin</t>
        </is>
      </c>
    </row>
    <row r="30">
      <c r="A30" t="inlineStr">
        <is>
          <t>CVR gross profit</t>
        </is>
      </c>
      <c r="B30" s="27">
        <f>B23+B17</f>
        <v/>
      </c>
    </row>
    <row r="31">
      <c r="A31" t="inlineStr">
        <is>
          <t>Total operating cost</t>
        </is>
      </c>
      <c r="B31" s="27">
        <f>B25+B18</f>
        <v/>
      </c>
    </row>
    <row r="32">
      <c r="A32" s="3" t="inlineStr">
        <is>
          <t>CVR operating income (OILI)</t>
        </is>
      </c>
      <c r="B32" s="30">
        <f>B30-B31</f>
        <v/>
      </c>
    </row>
    <row r="33">
      <c r="A33" t="inlineStr">
        <is>
          <t>OI margin — managed revenue</t>
        </is>
      </c>
      <c r="B33" s="10">
        <f>B32/B29</f>
        <v/>
      </c>
    </row>
    <row r="34">
      <c r="A34" t="inlineStr">
        <is>
          <t>OI margin — gross revenue</t>
        </is>
      </c>
      <c r="B34" s="10">
        <f>B32/B28</f>
        <v/>
      </c>
    </row>
    <row r="35">
      <c r="A35" t="inlineStr">
        <is>
          <t>Working-capital requirement ($M)</t>
        </is>
      </c>
      <c r="B35" s="27">
        <f>B15*B12/365</f>
        <v/>
      </c>
      <c r="C35" s="2" t="inlineStr">
        <is>
          <t>materials flow × carry days</t>
        </is>
      </c>
    </row>
    <row r="37">
      <c r="A37" s="3" t="inlineStr">
        <is>
          <t>CONTEXT vs TODAY &amp; THE YEAR-2 GOAL ($M)</t>
        </is>
      </c>
    </row>
    <row r="38">
      <c r="A38" t="inlineStr">
        <is>
          <t>CVR revenue today (managed, ~FY26)</t>
        </is>
      </c>
      <c r="B38" s="26" t="n">
        <v>1.42</v>
      </c>
      <c r="C38" s="2" t="inlineStr">
        <is>
          <t>current baseline</t>
        </is>
      </c>
    </row>
    <row r="39">
      <c r="A39" t="inlineStr">
        <is>
          <t>This model — managed revenue</t>
        </is>
      </c>
      <c r="B39" s="27">
        <f>B29</f>
        <v/>
      </c>
    </row>
    <row r="40">
      <c r="A40" t="inlineStr">
        <is>
          <t>Year-2 goal operating profit ($6M × 20%)</t>
        </is>
      </c>
      <c r="B40" s="26" t="n">
        <v>1.2</v>
      </c>
    </row>
    <row r="41">
      <c r="A41" t="inlineStr">
        <is>
          <t>This model — operating income</t>
        </is>
      </c>
      <c r="B41" s="27">
        <f>B32</f>
        <v/>
      </c>
    </row>
    <row r="42">
      <c r="A42" s="3" t="inlineStr">
        <is>
          <t>Multiple of the Year-2 goal profit</t>
        </is>
      </c>
      <c r="B42" s="31">
        <f>B32/B40</f>
        <v/>
      </c>
    </row>
    <row r="44">
      <c r="A44" s="3" t="inlineStr">
        <is>
          <t>PER-PROJECT ILLUSTRATION — a $3.45M EPC job ($M)</t>
        </is>
      </c>
    </row>
    <row r="45">
      <c r="A45" t="inlineStr">
        <is>
          <t>EPC job value</t>
        </is>
      </c>
      <c r="B45" s="26" t="n">
        <v>3.45</v>
      </c>
      <c r="C45" s="2" t="inlineStr">
        <is>
          <t>Consumers-paired size</t>
        </is>
      </c>
    </row>
    <row r="46">
      <c r="A46" t="inlineStr">
        <is>
          <t>Materials (share of job)</t>
        </is>
      </c>
      <c r="B46" s="27">
        <f>B45*B6</f>
        <v/>
      </c>
    </row>
    <row r="47">
      <c r="A47" t="inlineStr">
        <is>
          <t>CVR material margin</t>
        </is>
      </c>
      <c r="B47" s="27">
        <f>B46*B7</f>
        <v/>
      </c>
    </row>
    <row r="48">
      <c r="A48" t="inlineStr">
        <is>
          <t>CVR engineering scope</t>
        </is>
      </c>
      <c r="B48" s="27">
        <f>B45*B9</f>
        <v/>
      </c>
    </row>
    <row r="49">
      <c r="A49" s="3" t="inlineStr">
        <is>
          <t>CVR total take on the job</t>
        </is>
      </c>
      <c r="B49" s="29">
        <f>B47+B48</f>
        <v/>
      </c>
    </row>
    <row r="50">
      <c r="A50" t="inlineStr">
        <is>
          <t>CVR take as % of job value</t>
        </is>
      </c>
      <c r="B50" s="10">
        <f>B49/B45</f>
        <v/>
      </c>
    </row>
    <row r="51">
      <c r="A51" t="inlineStr">
        <is>
          <t>vs engineering-only today ($0.30M)</t>
        </is>
      </c>
      <c r="B51" s="27">
        <f>B49-0.3</f>
        <v/>
      </c>
      <c r="C51" s="2" t="inlineStr">
        <is>
          <t>uplift from adding material margin</t>
        </is>
      </c>
    </row>
    <row r="53">
      <c r="A53" s="3" t="inlineStr">
        <is>
          <t>SENSITIVITY — CVR operating income ($M): materials share × material margin</t>
        </is>
      </c>
    </row>
    <row r="54">
      <c r="A54" s="3" t="inlineStr">
        <is>
          <t>share ↓  /  margin →</t>
        </is>
      </c>
      <c r="B54" s="32" t="n">
        <v>0.07000000000000001</v>
      </c>
      <c r="C54" s="32" t="n">
        <v>0.1</v>
      </c>
      <c r="D54" s="32" t="n">
        <v>0.13</v>
      </c>
      <c r="E54" s="32" t="n">
        <v>0.16</v>
      </c>
    </row>
    <row r="55">
      <c r="A55" s="32" t="n">
        <v>0.25</v>
      </c>
      <c r="B55" s="27">
        <f>$B$5*$A55*(B$54-$B$8)+$B$24</f>
        <v/>
      </c>
      <c r="C55" s="27">
        <f>$B$5*$A55*(C$54-$B$8)+$B$24</f>
        <v/>
      </c>
      <c r="D55" s="27">
        <f>$B$5*$A55*(D$54-$B$8)+$B$24</f>
        <v/>
      </c>
      <c r="E55" s="27">
        <f>$B$5*$A55*(E$54-$B$8)+$B$24</f>
        <v/>
      </c>
    </row>
    <row r="56">
      <c r="A56" s="32" t="n">
        <v>0.3</v>
      </c>
      <c r="B56" s="27">
        <f>$B$5*$A56*(B$54-$B$8)+$B$24</f>
        <v/>
      </c>
      <c r="C56" s="27">
        <f>$B$5*$A56*(C$54-$B$8)+$B$24</f>
        <v/>
      </c>
      <c r="D56" s="27">
        <f>$B$5*$A56*(D$54-$B$8)+$B$24</f>
        <v/>
      </c>
      <c r="E56" s="27">
        <f>$B$5*$A56*(E$54-$B$8)+$B$24</f>
        <v/>
      </c>
    </row>
    <row r="57">
      <c r="A57" s="32" t="n">
        <v>0.35</v>
      </c>
      <c r="B57" s="27">
        <f>$B$5*$A57*(B$54-$B$8)+$B$24</f>
        <v/>
      </c>
      <c r="C57" s="27">
        <f>$B$5*$A57*(C$54-$B$8)+$B$24</f>
        <v/>
      </c>
      <c r="D57" s="30">
        <f>$B$5*$A57*(D$54-$B$8)+$B$24</f>
        <v/>
      </c>
      <c r="E57" s="27">
        <f>$B$5*$A57*(E$54-$B$8)+$B$24</f>
        <v/>
      </c>
    </row>
    <row r="58">
      <c r="A58" s="32" t="n">
        <v>0.4</v>
      </c>
      <c r="B58" s="27">
        <f>$B$5*$A58*(B$54-$B$8)+$B$24</f>
        <v/>
      </c>
      <c r="C58" s="27">
        <f>$B$5*$A58*(C$54-$B$8)+$B$24</f>
        <v/>
      </c>
      <c r="D58" s="27">
        <f>$B$5*$A58*(D$54-$B$8)+$B$24</f>
        <v/>
      </c>
      <c r="E58" s="27">
        <f>$B$5*$A58*(E$54-$B$8)+$B$24</f>
        <v/>
      </c>
    </row>
    <row r="59">
      <c r="A59" s="32" t="n">
        <v>0.45</v>
      </c>
      <c r="B59" s="27">
        <f>$B$5*$A59*(B$54-$B$8)+$B$24</f>
        <v/>
      </c>
      <c r="C59" s="27">
        <f>$B$5*$A59*(C$54-$B$8)+$B$24</f>
        <v/>
      </c>
      <c r="D59" s="27">
        <f>$B$5*$A59*(D$54-$B$8)+$B$24</f>
        <v/>
      </c>
      <c r="E59" s="27">
        <f>$B$5*$A59*(E$54-$B$8)+$B$24</f>
        <v/>
      </c>
    </row>
    <row r="61">
      <c r="A61" s="2" t="inlineStr">
        <is>
          <t>• Steady-state at $150M/yr EPC — a future-state illustration, not the 18-month forecast. Reaching it depends on the EPC ramp (BD origination + HWC delivery capacity).</t>
        </is>
      </c>
    </row>
    <row r="62">
      <c r="A62" s="2" t="inlineStr">
        <is>
          <t>• Materials shown on a PRINCIPAL basis (CVR takes title): CVR recognizes ~$52.5M materials revenue and ~$45.7M COGS. On a managed-margin (agent) basis, CVR 'revenue' is engineering + material margin ≈ $18.8M.</t>
        </is>
      </c>
    </row>
    <row r="63">
      <c r="A63" s="2" t="inlineStr">
        <is>
          <t>• CVR carries material procurement and price/obsolescence risk plus ~$6.5M of working capital; the 2-pt carry cost is a placeholder — confirm payment terms and a financing line with USC/HWC.</t>
        </is>
      </c>
    </row>
    <row r="64">
      <c r="A64" s="2" t="inlineStr">
        <is>
          <t>• HWC retains equipment procurement and the labor/construction margin, so CVR participates in EPC economics without taking construction-execution risk.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4" customWidth="1" min="3" max="3"/>
    <col width="10" customWidth="1" min="4" max="4"/>
  </cols>
  <sheetData>
    <row r="1">
      <c r="A1" s="1" t="inlineStr">
        <is>
          <t>Integrity checks</t>
        </is>
      </c>
    </row>
    <row r="4">
      <c r="A4" s="4" t="inlineStr">
        <is>
          <t>Check</t>
        </is>
      </c>
      <c r="B4" s="4" t="inlineStr">
        <is>
          <t>Model</t>
        </is>
      </c>
      <c r="C4" s="4" t="inlineStr">
        <is>
          <t>Expected</t>
        </is>
      </c>
      <c r="D4" s="4" t="inlineStr">
        <is>
          <t>Status</t>
        </is>
      </c>
    </row>
    <row r="5">
      <c r="A5" s="11" t="inlineStr">
        <is>
          <t>H1 revenue anchor ($K)</t>
        </is>
      </c>
      <c r="B5" s="19">
        <f>'FY Summary'!B5</f>
        <v/>
      </c>
      <c r="C5" s="19" t="n">
        <v>551</v>
      </c>
      <c r="D5" s="11">
        <f>IF(ABS(B5-C5)&lt;=0.5,"TIES","CHECK")</f>
        <v/>
      </c>
    </row>
    <row r="6">
      <c r="A6" s="11" t="inlineStr">
        <is>
          <t>H1 net income anchor ($K)</t>
        </is>
      </c>
      <c r="B6" s="19">
        <f>'FY Summary'!B9</f>
        <v/>
      </c>
      <c r="C6" s="19" t="n">
        <v>-320.5</v>
      </c>
      <c r="D6" s="11">
        <f>IF(ABS(B6-C6)&lt;=0.5,"TIES","CHECK")</f>
        <v/>
      </c>
    </row>
    <row r="7">
      <c r="A7" s="11" t="inlineStr">
        <is>
          <t>Backlog remaining total ($K)</t>
        </is>
      </c>
      <c r="B7" s="19">
        <f>'Backlog &amp; Pipeline'!E15</f>
        <v/>
      </c>
      <c r="C7" s="19" t="n">
        <v>696.8</v>
      </c>
      <c r="D7" s="11">
        <f>IF(ABS(B7-C7)&lt;=2.0,"TIES","CHECK")</f>
        <v/>
      </c>
    </row>
    <row r="8">
      <c r="A8" s="11" t="inlineStr">
        <is>
          <t>Note roll integrity: Dec-27 close = open − Σ op cash</t>
        </is>
      </c>
      <c r="B8" s="19">
        <f>'Cash &amp; Note'!S10</f>
        <v/>
      </c>
      <c r="C8" s="19">
        <f>3436.6-SUM('Cash &amp; Note'!B9:S9)</f>
        <v/>
      </c>
      <c r="D8" s="11">
        <f>IF(ABS(B8-C8)&lt;=0.1,"TIES","CHECK")</f>
        <v/>
      </c>
    </row>
    <row r="9">
      <c r="A9" s="11" t="inlineStr">
        <is>
          <t>Coverage ratio computed</t>
        </is>
      </c>
      <c r="B9" s="19">
        <f>'Backlog &amp; Pipeline'!B28</f>
        <v/>
      </c>
      <c r="C9" s="2" t="inlineStr">
        <is>
          <t>&gt;0 expected</t>
        </is>
      </c>
      <c r="D9" s="11">
        <f>IF(B9&gt;0,"OK","CHECK")</f>
        <v/>
      </c>
    </row>
    <row r="11">
      <c r="A11" s="3" t="inlineStr">
        <is>
          <t>MODEL LIMITS (read before presenting)</t>
        </is>
      </c>
    </row>
    <row r="12">
      <c r="A12" t="inlineStr">
        <is>
          <t>• Revenue is capacity-driven; the coverage check disciplines it against booked work, but it is not a job-by-job burn schedule.</t>
        </is>
      </c>
    </row>
    <row r="13">
      <c r="A13" t="inlineStr">
        <is>
          <t>• Direct-charge share (92%) mirrors the GL convention; when salary detail arrives, split wages properly by person.</t>
        </is>
      </c>
    </row>
    <row r="14">
      <c r="A14" t="inlineStr">
        <is>
          <t>• The FTE path assumes hires are productive in month one — add ramp months per hire if that proves optimistic.</t>
        </is>
      </c>
    </row>
    <row r="15">
      <c r="A15" t="inlineStr">
        <is>
          <t>• Pipeline probabilities are placeholders at the 2026 win rate (67%) or 50% — Estimating should own these numbers.</t>
        </is>
      </c>
    </row>
    <row r="16">
      <c r="A16" t="inlineStr">
        <is>
          <t>• Escalation is off (card rate and wages flat through 2027) — turn on via the scalar inputs when the 2027 rate sheet lands.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Forecast &amp; work coverage — with pipeline toggle</t>
        </is>
      </c>
    </row>
    <row r="2">
      <c r="A2" s="2" t="inlineStr">
        <is>
          <t>Native chart wired to live cells. Set the toggle to 0 to see booked backlog only; edit job remainders or bid probabilities and everything redraws.</t>
        </is>
      </c>
    </row>
    <row r="3">
      <c r="A3" s="3" t="inlineStr">
        <is>
          <t>Include weighted pipeline? (1 = yes, 0 = no)</t>
        </is>
      </c>
      <c r="B3" s="8" t="n">
        <v>1</v>
      </c>
    </row>
    <row r="5">
      <c r="A5" t="inlineStr">
        <is>
          <t>Coverage of forecast</t>
        </is>
      </c>
      <c r="B5" s="33">
        <f>(SUM(B35:S35)+SUM(B40:S40))/SUM(B41:S41)</f>
        <v/>
      </c>
    </row>
    <row r="6">
      <c r="A6" t="inlineStr">
        <is>
          <t>Gap to originate ($K)</t>
        </is>
      </c>
      <c r="B6" s="34">
        <f>SUM(B41:S41)-SUM(B35:S35)-SUM(B40:S40)</f>
        <v/>
      </c>
    </row>
    <row r="23">
      <c r="A23" s="3" t="inlineStr">
        <is>
          <t>CHART DATA ($K/month) — formulas reference Backlog &amp; Pipeline and Forecast P&amp;L</t>
        </is>
      </c>
    </row>
    <row r="24">
      <c r="A24" t="inlineStr">
        <is>
          <t>Month</t>
        </is>
      </c>
      <c r="B24" t="inlineStr">
        <is>
          <t>Jul-26</t>
        </is>
      </c>
      <c r="C24" t="inlineStr">
        <is>
          <t>Aug-26</t>
        </is>
      </c>
      <c r="D24" t="inlineStr">
        <is>
          <t>Sep-26</t>
        </is>
      </c>
      <c r="E24" t="inlineStr">
        <is>
          <t>Oct-26</t>
        </is>
      </c>
      <c r="F24" t="inlineStr">
        <is>
          <t>Nov-26</t>
        </is>
      </c>
      <c r="G24" t="inlineStr">
        <is>
          <t>Dec-26</t>
        </is>
      </c>
      <c r="H24" t="inlineStr">
        <is>
          <t>Jan-27</t>
        </is>
      </c>
      <c r="I24" t="inlineStr">
        <is>
          <t>Feb-27</t>
        </is>
      </c>
      <c r="J24" t="inlineStr">
        <is>
          <t>Mar-27</t>
        </is>
      </c>
      <c r="K24" t="inlineStr">
        <is>
          <t>Apr-27</t>
        </is>
      </c>
      <c r="L24" t="inlineStr">
        <is>
          <t>May-27</t>
        </is>
      </c>
      <c r="M24" t="inlineStr">
        <is>
          <t>Jun-27</t>
        </is>
      </c>
      <c r="N24" t="inlineStr">
        <is>
          <t>Jul-27</t>
        </is>
      </c>
      <c r="O24" t="inlineStr">
        <is>
          <t>Aug-27</t>
        </is>
      </c>
      <c r="P24" t="inlineStr">
        <is>
          <t>Sep-27</t>
        </is>
      </c>
      <c r="Q24" t="inlineStr">
        <is>
          <t>Oct-27</t>
        </is>
      </c>
      <c r="R24" t="inlineStr">
        <is>
          <t>Nov-27</t>
        </is>
      </c>
      <c r="S24" t="inlineStr">
        <is>
          <t>Dec-27</t>
        </is>
      </c>
    </row>
    <row r="25">
      <c r="A25" s="2" t="inlineStr">
        <is>
          <t>burn: DTE — Catalina Conversion Ph 3</t>
        </is>
      </c>
      <c r="B25">
        <f>'Backlog &amp; Pipeline'!$E5/6</f>
        <v/>
      </c>
      <c r="C25">
        <f>'Backlog &amp; Pipeline'!$E5/6</f>
        <v/>
      </c>
      <c r="D25">
        <f>'Backlog &amp; Pipeline'!$E5/6</f>
        <v/>
      </c>
      <c r="E25">
        <f>'Backlog &amp; Pipeline'!$E5/6</f>
        <v/>
      </c>
      <c r="F25">
        <f>'Backlog &amp; Pipeline'!$E5/6</f>
        <v/>
      </c>
      <c r="G25">
        <f>'Backlog &amp; Pipeline'!$E5/6</f>
        <v/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s="2" t="inlineStr">
        <is>
          <t>burn: DTE — New Baltimore Conversion</t>
        </is>
      </c>
      <c r="B26">
        <f>'Backlog &amp; Pipeline'!$E6/18</f>
        <v/>
      </c>
      <c r="C26">
        <f>'Backlog &amp; Pipeline'!$E6/18</f>
        <v/>
      </c>
      <c r="D26">
        <f>'Backlog &amp; Pipeline'!$E6/18</f>
        <v/>
      </c>
      <c r="E26">
        <f>'Backlog &amp; Pipeline'!$E6/18</f>
        <v/>
      </c>
      <c r="F26">
        <f>'Backlog &amp; Pipeline'!$E6/18</f>
        <v/>
      </c>
      <c r="G26">
        <f>'Backlog &amp; Pipeline'!$E6/18</f>
        <v/>
      </c>
      <c r="H26">
        <f>'Backlog &amp; Pipeline'!$E6/18</f>
        <v/>
      </c>
      <c r="I26">
        <f>'Backlog &amp; Pipeline'!$E6/18</f>
        <v/>
      </c>
      <c r="J26">
        <f>'Backlog &amp; Pipeline'!$E6/18</f>
        <v/>
      </c>
      <c r="K26">
        <f>'Backlog &amp; Pipeline'!$E6/18</f>
        <v/>
      </c>
      <c r="L26">
        <f>'Backlog &amp; Pipeline'!$E6/18</f>
        <v/>
      </c>
      <c r="M26">
        <f>'Backlog &amp; Pipeline'!$E6/18</f>
        <v/>
      </c>
      <c r="N26">
        <f>'Backlog &amp; Pipeline'!$E6/18</f>
        <v/>
      </c>
      <c r="O26">
        <f>'Backlog &amp; Pipeline'!$E6/18</f>
        <v/>
      </c>
      <c r="P26">
        <f>'Backlog &amp; Pipeline'!$E6/18</f>
        <v/>
      </c>
      <c r="Q26">
        <f>'Backlog &amp; Pipeline'!$E6/18</f>
        <v/>
      </c>
      <c r="R26">
        <f>'Backlog &amp; Pipeline'!$E6/18</f>
        <v/>
      </c>
      <c r="S26">
        <f>'Backlog &amp; Pipeline'!$E6/18</f>
        <v/>
      </c>
    </row>
    <row r="27">
      <c r="A27" s="2" t="inlineStr">
        <is>
          <t>burn: Consumers — 2026 HVD Line Sensors</t>
        </is>
      </c>
      <c r="B27">
        <f>'Backlog &amp; Pipeline'!$E7/4</f>
        <v/>
      </c>
      <c r="C27">
        <f>'Backlog &amp; Pipeline'!$E7/4</f>
        <v/>
      </c>
      <c r="D27">
        <f>'Backlog &amp; Pipeline'!$E7/4</f>
        <v/>
      </c>
      <c r="E27">
        <f>'Backlog &amp; Pipeline'!$E7/4</f>
        <v/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s="2" t="inlineStr">
        <is>
          <t>burn: Cloverland — Manistique Pump Stn</t>
        </is>
      </c>
      <c r="B28">
        <f>'Backlog &amp; Pipeline'!$E8/3</f>
        <v/>
      </c>
      <c r="C28">
        <f>'Backlog &amp; Pipeline'!$E8/3</f>
        <v/>
      </c>
      <c r="D28">
        <f>'Backlog &amp; Pipeline'!$E8/3</f>
        <v/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s="2" t="inlineStr">
        <is>
          <t>burn: CenterPoint — Gateway 69kV</t>
        </is>
      </c>
      <c r="B29">
        <f>'Backlog &amp; Pipeline'!$E9/2</f>
        <v/>
      </c>
      <c r="C29">
        <f>'Backlog &amp; Pipeline'!$E9/2</f>
        <v/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s="2" t="inlineStr">
        <is>
          <t>burn: CenterPoint — Rockport 69kV</t>
        </is>
      </c>
      <c r="B30">
        <f>'Backlog &amp; Pipeline'!$E10/2</f>
        <v/>
      </c>
      <c r="C30">
        <f>'Backlog &amp; Pipeline'!$E10/2</f>
        <v/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s="2" t="inlineStr">
        <is>
          <t>burn: CenterPoint — Angel Mounds 69kV</t>
        </is>
      </c>
      <c r="B31">
        <f>'Backlog &amp; Pipeline'!$E11/4</f>
        <v/>
      </c>
      <c r="C31">
        <f>'Backlog &amp; Pipeline'!$E11/4</f>
        <v/>
      </c>
      <c r="D31">
        <f>'Backlog &amp; Pipeline'!$E11/4</f>
        <v/>
      </c>
      <c r="E31">
        <f>'Backlog &amp; Pipeline'!$E11/4</f>
        <v/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s="2" t="inlineStr">
        <is>
          <t>burn: CenterPoint — Northwest 69kV</t>
        </is>
      </c>
      <c r="B32">
        <f>'Backlog &amp; Pipeline'!$E12/14</f>
        <v/>
      </c>
      <c r="C32">
        <f>'Backlog &amp; Pipeline'!$E12/14</f>
        <v/>
      </c>
      <c r="D32">
        <f>'Backlog &amp; Pipeline'!$E12/14</f>
        <v/>
      </c>
      <c r="E32">
        <f>'Backlog &amp; Pipeline'!$E12/14</f>
        <v/>
      </c>
      <c r="F32">
        <f>'Backlog &amp; Pipeline'!$E12/14</f>
        <v/>
      </c>
      <c r="G32">
        <f>'Backlog &amp; Pipeline'!$E12/14</f>
        <v/>
      </c>
      <c r="H32">
        <f>'Backlog &amp; Pipeline'!$E12/14</f>
        <v/>
      </c>
      <c r="I32">
        <f>'Backlog &amp; Pipeline'!$E12/14</f>
        <v/>
      </c>
      <c r="J32">
        <f>'Backlog &amp; Pipeline'!$E12/14</f>
        <v/>
      </c>
      <c r="K32">
        <f>'Backlog &amp; Pipeline'!$E12/14</f>
        <v/>
      </c>
      <c r="L32">
        <f>'Backlog &amp; Pipeline'!$E12/14</f>
        <v/>
      </c>
      <c r="M32">
        <f>'Backlog &amp; Pipeline'!$E12/14</f>
        <v/>
      </c>
      <c r="N32">
        <f>'Backlog &amp; Pipeline'!$E12/14</f>
        <v/>
      </c>
      <c r="O32">
        <f>'Backlog &amp; Pipeline'!$E12/14</f>
        <v/>
      </c>
      <c r="P32" t="n">
        <v>0</v>
      </c>
      <c r="Q32" t="n">
        <v>0</v>
      </c>
      <c r="R32" t="n">
        <v>0</v>
      </c>
      <c r="S32" t="n">
        <v>0</v>
      </c>
    </row>
    <row r="33">
      <c r="A33" s="2" t="inlineStr">
        <is>
          <t>burn: CenterPoint — Leonard Rd 69kV</t>
        </is>
      </c>
      <c r="B33">
        <f>'Backlog &amp; Pipeline'!$E13/16</f>
        <v/>
      </c>
      <c r="C33">
        <f>'Backlog &amp; Pipeline'!$E13/16</f>
        <v/>
      </c>
      <c r="D33">
        <f>'Backlog &amp; Pipeline'!$E13/16</f>
        <v/>
      </c>
      <c r="E33">
        <f>'Backlog &amp; Pipeline'!$E13/16</f>
        <v/>
      </c>
      <c r="F33">
        <f>'Backlog &amp; Pipeline'!$E13/16</f>
        <v/>
      </c>
      <c r="G33">
        <f>'Backlog &amp; Pipeline'!$E13/16</f>
        <v/>
      </c>
      <c r="H33">
        <f>'Backlog &amp; Pipeline'!$E13/16</f>
        <v/>
      </c>
      <c r="I33">
        <f>'Backlog &amp; Pipeline'!$E13/16</f>
        <v/>
      </c>
      <c r="J33">
        <f>'Backlog &amp; Pipeline'!$E13/16</f>
        <v/>
      </c>
      <c r="K33">
        <f>'Backlog &amp; Pipeline'!$E13/16</f>
        <v/>
      </c>
      <c r="L33">
        <f>'Backlog &amp; Pipeline'!$E13/16</f>
        <v/>
      </c>
      <c r="M33">
        <f>'Backlog &amp; Pipeline'!$E13/16</f>
        <v/>
      </c>
      <c r="N33">
        <f>'Backlog &amp; Pipeline'!$E13/16</f>
        <v/>
      </c>
      <c r="O33">
        <f>'Backlog &amp; Pipeline'!$E13/16</f>
        <v/>
      </c>
      <c r="P33">
        <f>'Backlog &amp; Pipeline'!$E13/16</f>
        <v/>
      </c>
      <c r="Q33">
        <f>'Backlog &amp; Pipeline'!$E13/16</f>
        <v/>
      </c>
      <c r="R33" t="n">
        <v>0</v>
      </c>
      <c r="S33" t="n">
        <v>0</v>
      </c>
    </row>
    <row r="34">
      <c r="A34" s="2" t="inlineStr">
        <is>
          <t>burn: Consumers — 2026 Pole Replacements</t>
        </is>
      </c>
      <c r="B34">
        <f>'Backlog &amp; Pipeline'!$E14/18</f>
        <v/>
      </c>
      <c r="C34">
        <f>'Backlog &amp; Pipeline'!$E14/18</f>
        <v/>
      </c>
      <c r="D34">
        <f>'Backlog &amp; Pipeline'!$E14/18</f>
        <v/>
      </c>
      <c r="E34">
        <f>'Backlog &amp; Pipeline'!$E14/18</f>
        <v/>
      </c>
      <c r="F34">
        <f>'Backlog &amp; Pipeline'!$E14/18</f>
        <v/>
      </c>
      <c r="G34">
        <f>'Backlog &amp; Pipeline'!$E14/18</f>
        <v/>
      </c>
      <c r="H34">
        <f>'Backlog &amp; Pipeline'!$E14/18</f>
        <v/>
      </c>
      <c r="I34">
        <f>'Backlog &amp; Pipeline'!$E14/18</f>
        <v/>
      </c>
      <c r="J34">
        <f>'Backlog &amp; Pipeline'!$E14/18</f>
        <v/>
      </c>
      <c r="K34">
        <f>'Backlog &amp; Pipeline'!$E14/18</f>
        <v/>
      </c>
      <c r="L34">
        <f>'Backlog &amp; Pipeline'!$E14/18</f>
        <v/>
      </c>
      <c r="M34">
        <f>'Backlog &amp; Pipeline'!$E14/18</f>
        <v/>
      </c>
      <c r="N34">
        <f>'Backlog &amp; Pipeline'!$E14/18</f>
        <v/>
      </c>
      <c r="O34">
        <f>'Backlog &amp; Pipeline'!$E14/18</f>
        <v/>
      </c>
      <c r="P34">
        <f>'Backlog &amp; Pipeline'!$E14/18</f>
        <v/>
      </c>
      <c r="Q34">
        <f>'Backlog &amp; Pipeline'!$E14/18</f>
        <v/>
      </c>
      <c r="R34">
        <f>'Backlog &amp; Pipeline'!$E14/18</f>
        <v/>
      </c>
      <c r="S34">
        <f>'Backlog &amp; Pipeline'!$E14/18</f>
        <v/>
      </c>
    </row>
    <row r="35">
      <c r="A35" s="3" t="inlineStr">
        <is>
          <t>Booked backlog</t>
        </is>
      </c>
      <c r="B35">
        <f>SUM(B25:B34)</f>
        <v/>
      </c>
      <c r="C35">
        <f>SUM(C25:C34)</f>
        <v/>
      </c>
      <c r="D35">
        <f>SUM(D25:D34)</f>
        <v/>
      </c>
      <c r="E35">
        <f>SUM(E25:E34)</f>
        <v/>
      </c>
      <c r="F35">
        <f>SUM(F25:F34)</f>
        <v/>
      </c>
      <c r="G35">
        <f>SUM(G25:G34)</f>
        <v/>
      </c>
      <c r="H35">
        <f>SUM(H25:H34)</f>
        <v/>
      </c>
      <c r="I35">
        <f>SUM(I25:I34)</f>
        <v/>
      </c>
      <c r="J35">
        <f>SUM(J25:J34)</f>
        <v/>
      </c>
      <c r="K35">
        <f>SUM(K25:K34)</f>
        <v/>
      </c>
      <c r="L35">
        <f>SUM(L25:L34)</f>
        <v/>
      </c>
      <c r="M35">
        <f>SUM(M25:M34)</f>
        <v/>
      </c>
      <c r="N35">
        <f>SUM(N25:N34)</f>
        <v/>
      </c>
      <c r="O35">
        <f>SUM(O25:O34)</f>
        <v/>
      </c>
      <c r="P35">
        <f>SUM(P25:P34)</f>
        <v/>
      </c>
      <c r="Q35">
        <f>SUM(Q25:Q34)</f>
        <v/>
      </c>
      <c r="R35">
        <f>SUM(R25:R34)</f>
        <v/>
      </c>
      <c r="S35">
        <f>SUM(S25:S34)</f>
        <v/>
      </c>
    </row>
    <row r="36">
      <c r="A36" s="2" t="inlineStr">
        <is>
          <t>bid: Frontier Make Ready</t>
        </is>
      </c>
      <c r="B36" t="n">
        <v>0</v>
      </c>
      <c r="C36" t="n">
        <v>0</v>
      </c>
      <c r="D36">
        <f>'Backlog &amp; Pipeline'!$C19*'Backlog &amp; Pipeline'!$D19/6</f>
        <v/>
      </c>
      <c r="E36">
        <f>'Backlog &amp; Pipeline'!$C19*'Backlog &amp; Pipeline'!$D19/6</f>
        <v/>
      </c>
      <c r="F36">
        <f>'Backlog &amp; Pipeline'!$C19*'Backlog &amp; Pipeline'!$D19/6</f>
        <v/>
      </c>
      <c r="G36">
        <f>'Backlog &amp; Pipeline'!$C19*'Backlog &amp; Pipeline'!$D19/6</f>
        <v/>
      </c>
      <c r="H36">
        <f>'Backlog &amp; Pipeline'!$C19*'Backlog &amp; Pipeline'!$D19/6</f>
        <v/>
      </c>
      <c r="I36">
        <f>'Backlog &amp; Pipeline'!$C19*'Backlog &amp; Pipeline'!$D19/6</f>
        <v/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s="2" t="inlineStr">
        <is>
          <t>bid: Jacksonburg–Gateway (EPC-paired $3</t>
        </is>
      </c>
      <c r="B37" t="n">
        <v>0</v>
      </c>
      <c r="C37" t="n">
        <v>0</v>
      </c>
      <c r="D37" t="n">
        <v>0</v>
      </c>
      <c r="E37" t="n">
        <v>0</v>
      </c>
      <c r="F37">
        <f>'Backlog &amp; Pipeline'!$C20*'Backlog &amp; Pipeline'!$D20/12</f>
        <v/>
      </c>
      <c r="G37">
        <f>'Backlog &amp; Pipeline'!$C20*'Backlog &amp; Pipeline'!$D20/12</f>
        <v/>
      </c>
      <c r="H37">
        <f>'Backlog &amp; Pipeline'!$C20*'Backlog &amp; Pipeline'!$D20/12</f>
        <v/>
      </c>
      <c r="I37">
        <f>'Backlog &amp; Pipeline'!$C20*'Backlog &amp; Pipeline'!$D20/12</f>
        <v/>
      </c>
      <c r="J37">
        <f>'Backlog &amp; Pipeline'!$C20*'Backlog &amp; Pipeline'!$D20/12</f>
        <v/>
      </c>
      <c r="K37">
        <f>'Backlog &amp; Pipeline'!$C20*'Backlog &amp; Pipeline'!$D20/12</f>
        <v/>
      </c>
      <c r="L37">
        <f>'Backlog &amp; Pipeline'!$C20*'Backlog &amp; Pipeline'!$D20/12</f>
        <v/>
      </c>
      <c r="M37">
        <f>'Backlog &amp; Pipeline'!$C20*'Backlog &amp; Pipeline'!$D20/12</f>
        <v/>
      </c>
      <c r="N37">
        <f>'Backlog &amp; Pipeline'!$C20*'Backlog &amp; Pipeline'!$D20/12</f>
        <v/>
      </c>
      <c r="O37">
        <f>'Backlog &amp; Pipeline'!$C20*'Backlog &amp; Pipeline'!$D20/12</f>
        <v/>
      </c>
      <c r="P37">
        <f>'Backlog &amp; Pipeline'!$C20*'Backlog &amp; Pipeline'!$D20/12</f>
        <v/>
      </c>
      <c r="Q37">
        <f>'Backlog &amp; Pipeline'!$C20*'Backlog &amp; Pipeline'!$D20/12</f>
        <v/>
      </c>
      <c r="R37" t="n">
        <v>0</v>
      </c>
      <c r="S37" t="n">
        <v>0</v>
      </c>
    </row>
    <row r="38">
      <c r="A38" s="2" t="inlineStr">
        <is>
          <t>bid: Rosehill–Rockport (EPC-paired $5.5</t>
        </is>
      </c>
      <c r="B38" t="n">
        <v>0</v>
      </c>
      <c r="C38" t="n">
        <v>0</v>
      </c>
      <c r="D38" t="n">
        <v>0</v>
      </c>
      <c r="E38" t="n">
        <v>0</v>
      </c>
      <c r="F38">
        <f>'Backlog &amp; Pipeline'!$C21*'Backlog &amp; Pipeline'!$D21/12</f>
        <v/>
      </c>
      <c r="G38">
        <f>'Backlog &amp; Pipeline'!$C21*'Backlog &amp; Pipeline'!$D21/12</f>
        <v/>
      </c>
      <c r="H38">
        <f>'Backlog &amp; Pipeline'!$C21*'Backlog &amp; Pipeline'!$D21/12</f>
        <v/>
      </c>
      <c r="I38">
        <f>'Backlog &amp; Pipeline'!$C21*'Backlog &amp; Pipeline'!$D21/12</f>
        <v/>
      </c>
      <c r="J38">
        <f>'Backlog &amp; Pipeline'!$C21*'Backlog &amp; Pipeline'!$D21/12</f>
        <v/>
      </c>
      <c r="K38">
        <f>'Backlog &amp; Pipeline'!$C21*'Backlog &amp; Pipeline'!$D21/12</f>
        <v/>
      </c>
      <c r="L38">
        <f>'Backlog &amp; Pipeline'!$C21*'Backlog &amp; Pipeline'!$D21/12</f>
        <v/>
      </c>
      <c r="M38">
        <f>'Backlog &amp; Pipeline'!$C21*'Backlog &amp; Pipeline'!$D21/12</f>
        <v/>
      </c>
      <c r="N38">
        <f>'Backlog &amp; Pipeline'!$C21*'Backlog &amp; Pipeline'!$D21/12</f>
        <v/>
      </c>
      <c r="O38">
        <f>'Backlog &amp; Pipeline'!$C21*'Backlog &amp; Pipeline'!$D21/12</f>
        <v/>
      </c>
      <c r="P38">
        <f>'Backlog &amp; Pipeline'!$C21*'Backlog &amp; Pipeline'!$D21/12</f>
        <v/>
      </c>
      <c r="Q38">
        <f>'Backlog &amp; Pipeline'!$C21*'Backlog &amp; Pipeline'!$D21/12</f>
        <v/>
      </c>
      <c r="R38" t="n">
        <v>0</v>
      </c>
      <c r="S38" t="n">
        <v>0</v>
      </c>
    </row>
    <row r="39">
      <c r="A39" s="2" t="inlineStr">
        <is>
          <t>bid: Joint Use Audit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>
        <f>'Backlog &amp; Pipeline'!$C22*'Backlog &amp; Pipeline'!$D22/18</f>
        <v/>
      </c>
      <c r="H39">
        <f>'Backlog &amp; Pipeline'!$C22*'Backlog &amp; Pipeline'!$D22/18</f>
        <v/>
      </c>
      <c r="I39">
        <f>'Backlog &amp; Pipeline'!$C22*'Backlog &amp; Pipeline'!$D22/18</f>
        <v/>
      </c>
      <c r="J39">
        <f>'Backlog &amp; Pipeline'!$C22*'Backlog &amp; Pipeline'!$D22/18</f>
        <v/>
      </c>
      <c r="K39">
        <f>'Backlog &amp; Pipeline'!$C22*'Backlog &amp; Pipeline'!$D22/18</f>
        <v/>
      </c>
      <c r="L39">
        <f>'Backlog &amp; Pipeline'!$C22*'Backlog &amp; Pipeline'!$D22/18</f>
        <v/>
      </c>
      <c r="M39">
        <f>'Backlog &amp; Pipeline'!$C22*'Backlog &amp; Pipeline'!$D22/18</f>
        <v/>
      </c>
      <c r="N39">
        <f>'Backlog &amp; Pipeline'!$C22*'Backlog &amp; Pipeline'!$D22/18</f>
        <v/>
      </c>
      <c r="O39">
        <f>'Backlog &amp; Pipeline'!$C22*'Backlog &amp; Pipeline'!$D22/18</f>
        <v/>
      </c>
      <c r="P39">
        <f>'Backlog &amp; Pipeline'!$C22*'Backlog &amp; Pipeline'!$D22/18</f>
        <v/>
      </c>
      <c r="Q39">
        <f>'Backlog &amp; Pipeline'!$C22*'Backlog &amp; Pipeline'!$D22/18</f>
        <v/>
      </c>
      <c r="R39">
        <f>'Backlog &amp; Pipeline'!$C22*'Backlog &amp; Pipeline'!$D22/18</f>
        <v/>
      </c>
      <c r="S39">
        <f>'Backlog &amp; Pipeline'!$C22*'Backlog &amp; Pipeline'!$D22/18</f>
        <v/>
      </c>
    </row>
    <row r="40">
      <c r="A40" s="3" t="inlineStr">
        <is>
          <t>Weighted pipeline (× toggle)</t>
        </is>
      </c>
      <c r="B40">
        <f>SUM(B36:B39)*$B$3</f>
        <v/>
      </c>
      <c r="C40">
        <f>SUM(C36:C39)*$B$3</f>
        <v/>
      </c>
      <c r="D40">
        <f>SUM(D36:D39)*$B$3</f>
        <v/>
      </c>
      <c r="E40">
        <f>SUM(E36:E39)*$B$3</f>
        <v/>
      </c>
      <c r="F40">
        <f>SUM(F36:F39)*$B$3</f>
        <v/>
      </c>
      <c r="G40">
        <f>SUM(G36:G39)*$B$3</f>
        <v/>
      </c>
      <c r="H40">
        <f>SUM(H36:H39)*$B$3</f>
        <v/>
      </c>
      <c r="I40">
        <f>SUM(I36:I39)*$B$3</f>
        <v/>
      </c>
      <c r="J40">
        <f>SUM(J36:J39)*$B$3</f>
        <v/>
      </c>
      <c r="K40">
        <f>SUM(K36:K39)*$B$3</f>
        <v/>
      </c>
      <c r="L40">
        <f>SUM(L36:L39)*$B$3</f>
        <v/>
      </c>
      <c r="M40">
        <f>SUM(M36:M39)*$B$3</f>
        <v/>
      </c>
      <c r="N40">
        <f>SUM(N36:N39)*$B$3</f>
        <v/>
      </c>
      <c r="O40">
        <f>SUM(O36:O39)*$B$3</f>
        <v/>
      </c>
      <c r="P40">
        <f>SUM(P36:P39)*$B$3</f>
        <v/>
      </c>
      <c r="Q40">
        <f>SUM(Q36:Q39)*$B$3</f>
        <v/>
      </c>
      <c r="R40">
        <f>SUM(R36:R39)*$B$3</f>
        <v/>
      </c>
      <c r="S40">
        <f>SUM(S36:S39)*$B$3</f>
        <v/>
      </c>
    </row>
    <row r="41">
      <c r="A41" s="3" t="inlineStr">
        <is>
          <t>Forecast revenue</t>
        </is>
      </c>
      <c r="B41">
        <f>'Forecast P&amp;L'!B6</f>
        <v/>
      </c>
      <c r="C41">
        <f>'Forecast P&amp;L'!C6</f>
        <v/>
      </c>
      <c r="D41">
        <f>'Forecast P&amp;L'!D6</f>
        <v/>
      </c>
      <c r="E41">
        <f>'Forecast P&amp;L'!E6</f>
        <v/>
      </c>
      <c r="F41">
        <f>'Forecast P&amp;L'!F6</f>
        <v/>
      </c>
      <c r="G41">
        <f>'Forecast P&amp;L'!G6</f>
        <v/>
      </c>
      <c r="H41">
        <f>'Forecast P&amp;L'!H6</f>
        <v/>
      </c>
      <c r="I41">
        <f>'Forecast P&amp;L'!I6</f>
        <v/>
      </c>
      <c r="J41">
        <f>'Forecast P&amp;L'!J6</f>
        <v/>
      </c>
      <c r="K41">
        <f>'Forecast P&amp;L'!K6</f>
        <v/>
      </c>
      <c r="L41">
        <f>'Forecast P&amp;L'!L6</f>
        <v/>
      </c>
      <c r="M41">
        <f>'Forecast P&amp;L'!M6</f>
        <v/>
      </c>
      <c r="N41">
        <f>'Forecast P&amp;L'!N6</f>
        <v/>
      </c>
      <c r="O41">
        <f>'Forecast P&amp;L'!O6</f>
        <v/>
      </c>
      <c r="P41">
        <f>'Forecast P&amp;L'!P6</f>
        <v/>
      </c>
      <c r="Q41">
        <f>'Forecast P&amp;L'!Q6</f>
        <v/>
      </c>
      <c r="R41">
        <f>'Forecast P&amp;L'!R6</f>
        <v/>
      </c>
      <c r="S41">
        <f>'Forecast P&amp;L'!S6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2026-07-28T15:06:59Z</dcterms:created>
  <dcterms:modified xmlns:dcterms="http://purl.org/dc/terms/" xmlns:xsi="http://www.w3.org/2001/XMLSchema-instance" xsi:type="dcterms:W3CDTF">2026-07-28T15:06:59Z</dcterms:modified>
</cp:coreProperties>
</file>