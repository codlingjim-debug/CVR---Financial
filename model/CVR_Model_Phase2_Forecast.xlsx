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cenario Paths" sheetId="2" state="visible" r:id="rId2"/>
    <sheet name="Drivers" sheetId="3" state="visible" r:id="rId3"/>
    <sheet name="Forecast P&amp;L" sheetId="4" state="visible" r:id="rId4"/>
    <sheet name="Cash &amp; Note" sheetId="5" state="visible" r:id="rId5"/>
    <sheet name="Backlog &amp; Pipeline" sheetId="6" state="visible" r:id="rId6"/>
    <sheet name="FY Summary" sheetId="7" state="visible" r:id="rId7"/>
    <sheet name="Checks" sheetId="8" state="visible" r:id="rId8"/>
    <sheet name="Coverage Char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&quot;$&quot;#,##0.00"/>
    <numFmt numFmtId="167" formatCode="#,##0.0;(#,##0.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167" fontId="3" fillId="3" borderId="0" pivotButton="0" quotePrefix="0" xfId="0"/>
    <xf numFmtId="167" fontId="3" fillId="0" borderId="1" pivotButton="0" quotePrefix="0" xfId="0"/>
    <xf numFmtId="167" fontId="0" fillId="0" borderId="0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Forecast revenue vs booked backlog + weighted pipeline ($K/month)</a:t>
            </a:r>
          </a:p>
        </rich>
      </tx>
    </title>
    <plotArea>
      <areaChart>
        <grouping val="stacked"/>
        <ser>
          <idx val="0"/>
          <order val="0"/>
          <tx>
            <strRef>
              <f>'Coverage Chart'!A34</f>
            </strRef>
          </tx>
          <spPr>
            <a:solidFill>
              <a:srgbClr val="9EC5F4"/>
            </a:solidFill>
            <a:ln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Chart'!$B$34:$S$34</f>
            </numRef>
          </val>
        </ser>
        <ser>
          <idx val="1"/>
          <order val="1"/>
          <tx>
            <strRef>
              <f>'Coverage Chart'!A40</f>
            </strRef>
          </tx>
          <spPr>
            <a:solidFill>
              <a:srgbClr val="CDE2FB"/>
            </a:solidFill>
            <a:ln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Chart'!$B$40:$S$40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'Coverage Chart'!A41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'Coverage Chart'!$B$24:$S$24</f>
            </numRef>
          </cat>
          <val>
            <numRef>
              <f>'Coverage Chart'!$B$41:$S$41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5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$K per month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250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Cash &amp; Note        — AR, operating cash, and the parent-note roll-forward (funds every deficit).</t>
        </is>
      </c>
    </row>
    <row r="20">
      <c r="A20" t="inlineStr">
        <is>
          <t xml:space="preserve">  Backlog &amp; Pipeline — remaining value on active jobs + probability-weighted bids; coverage check.</t>
        </is>
      </c>
    </row>
    <row r="21">
      <c r="A21" t="inlineStr">
        <is>
          <t xml:space="preserve">  FY Summary         — FY2026 landing (H1 actual + H2 forecast) vs budget; FY2027 vs the $6M goal.</t>
        </is>
      </c>
    </row>
    <row r="22">
      <c r="A22" t="inlineStr">
        <is>
          <t xml:space="preserve">  Checks             — anchors to the GL baseline and internal integrity checks.</t>
        </is>
      </c>
    </row>
    <row r="23">
      <c r="A23" t="inlineStr">
        <is>
          <t xml:space="preserve">  Coverage Chart     — native chart: forecast line vs backlog + pipeline areas, with a 1/0 toggle</t>
        </is>
      </c>
    </row>
    <row r="24">
      <c r="A24" t="inlineStr">
        <is>
          <t xml:space="preserve">                       cell (B3) that includes or excludes the weighted pipeline live.</t>
        </is>
      </c>
    </row>
    <row r="25">
      <c r="A25" t="inlineStr"/>
    </row>
    <row r="26">
      <c r="A26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0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Avg loaded wage per FTE-month ($)</t>
        </is>
      </c>
      <c r="B13" s="14" t="n">
        <v>7756</v>
      </c>
      <c r="C13" s="13" t="inlineStr">
        <is>
          <t>GL H1: $465.4K wages ÷ 6 mo ÷ 10 FTE</t>
        </is>
      </c>
    </row>
    <row r="14">
      <c r="A14" s="11" t="inlineStr">
        <is>
          <t>Direct-charge share of wages</t>
        </is>
      </c>
      <c r="B14" s="7" t="n">
        <v>0.92</v>
      </c>
      <c r="C14" s="13" t="inlineStr">
        <is>
          <t>GL H1: direct labor $428.5K of $465.4K total wages</t>
        </is>
      </c>
    </row>
    <row r="15">
      <c r="A15" s="11" t="inlineStr">
        <is>
          <t>Burden % of wages</t>
        </is>
      </c>
      <c r="B15" s="7" t="n">
        <v>0.338</v>
      </c>
      <c r="C15" s="13" t="inlineStr">
        <is>
          <t>GL H1 burden lines ÷ wages</t>
        </is>
      </c>
    </row>
    <row r="16">
      <c r="A16" s="11" t="inlineStr">
        <is>
          <t>Other OpEx per month ($)</t>
        </is>
      </c>
      <c r="B16" s="14" t="n">
        <v>19193</v>
      </c>
      <c r="C16" s="13" t="inlineStr">
        <is>
          <t>GL H1: OpEx less burden, overhead, indirect labor, ÷ 6</t>
        </is>
      </c>
    </row>
    <row r="17">
      <c r="A17" s="11" t="inlineStr">
        <is>
          <t>Corporate overhead per month ($)</t>
        </is>
      </c>
      <c r="B17" s="14" t="n">
        <v>17250</v>
      </c>
      <c r="C17" s="13" t="inlineStr">
        <is>
          <t>GL: flat allocation</t>
        </is>
      </c>
    </row>
    <row r="18">
      <c r="A18" s="11" t="inlineStr">
        <is>
          <t>Interest rate on parent note (APR)</t>
        </is>
      </c>
      <c r="B18" s="15" t="n">
        <v>0.0175</v>
      </c>
      <c r="C18" s="13" t="inlineStr">
        <is>
          <t>GL H1: $30.1K ÷ 6 ÷ $3.44M ×12</t>
        </is>
      </c>
    </row>
    <row r="19">
      <c r="A19" s="11" t="inlineStr">
        <is>
          <t>DSO (days sales outstanding)</t>
        </is>
      </c>
      <c r="B19" s="5" t="n">
        <v>46</v>
      </c>
      <c r="C19" s="13" t="inlineStr">
        <is>
          <t>GL: AR $139.8K vs H1 revenue</t>
        </is>
      </c>
    </row>
    <row r="20">
      <c r="A20" s="11" t="inlineStr">
        <is>
          <t>Available hours per FTE-month</t>
        </is>
      </c>
      <c r="B20" s="16" t="n">
        <v>173.33</v>
      </c>
      <c r="C20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Drivers!B$6*Drivers!$B$20*Drivers!B$7</f>
        <v/>
      </c>
      <c r="C5" s="17">
        <f>Drivers!C$6*Drivers!$B$20*Drivers!C$7</f>
        <v/>
      </c>
      <c r="D5" s="17">
        <f>Drivers!D$6*Drivers!$B$20*Drivers!D$7</f>
        <v/>
      </c>
      <c r="E5" s="17">
        <f>Drivers!E$6*Drivers!$B$20*Drivers!E$7</f>
        <v/>
      </c>
      <c r="F5" s="17">
        <f>Drivers!F$6*Drivers!$B$20*Drivers!F$7</f>
        <v/>
      </c>
      <c r="G5" s="17">
        <f>Drivers!G$6*Drivers!$B$20*Drivers!G$7</f>
        <v/>
      </c>
      <c r="H5" s="17">
        <f>Drivers!H$6*Drivers!$B$20*Drivers!H$7</f>
        <v/>
      </c>
      <c r="I5" s="17">
        <f>Drivers!I$6*Drivers!$B$20*Drivers!I$7</f>
        <v/>
      </c>
      <c r="J5" s="17">
        <f>Drivers!J$6*Drivers!$B$20*Drivers!J$7</f>
        <v/>
      </c>
      <c r="K5" s="17">
        <f>Drivers!K$6*Drivers!$B$20*Drivers!K$7</f>
        <v/>
      </c>
      <c r="L5" s="17">
        <f>Drivers!L$6*Drivers!$B$20*Drivers!L$7</f>
        <v/>
      </c>
      <c r="M5" s="17">
        <f>Drivers!M$6*Drivers!$B$20*Drivers!M$7</f>
        <v/>
      </c>
      <c r="N5" s="17">
        <f>Drivers!N$6*Drivers!$B$20*Drivers!N$7</f>
        <v/>
      </c>
      <c r="O5" s="17">
        <f>Drivers!O$6*Drivers!$B$20*Drivers!O$7</f>
        <v/>
      </c>
      <c r="P5" s="17">
        <f>Drivers!P$6*Drivers!$B$20*Drivers!P$7</f>
        <v/>
      </c>
      <c r="Q5" s="17">
        <f>Drivers!Q$6*Drivers!$B$20*Drivers!Q$7</f>
        <v/>
      </c>
      <c r="R5" s="17">
        <f>Drivers!R$6*Drivers!$B$20*Drivers!R$7</f>
        <v/>
      </c>
      <c r="S5" s="17">
        <f>Drivers!S$6*Drivers!$B$20*Drivers!S$7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</t>
        </is>
      </c>
      <c r="B7" s="19">
        <f>Drivers!B$6*Drivers!$B$13*Drivers!$B$14/1000</f>
        <v/>
      </c>
      <c r="C7" s="19">
        <f>Drivers!C$6*Drivers!$B$13*Drivers!$B$14/1000</f>
        <v/>
      </c>
      <c r="D7" s="19">
        <f>Drivers!D$6*Drivers!$B$13*Drivers!$B$14/1000</f>
        <v/>
      </c>
      <c r="E7" s="19">
        <f>Drivers!E$6*Drivers!$B$13*Drivers!$B$14/1000</f>
        <v/>
      </c>
      <c r="F7" s="19">
        <f>Drivers!F$6*Drivers!$B$13*Drivers!$B$14/1000</f>
        <v/>
      </c>
      <c r="G7" s="19">
        <f>Drivers!G$6*Drivers!$B$13*Drivers!$B$14/1000</f>
        <v/>
      </c>
      <c r="H7" s="19">
        <f>Drivers!H$6*Drivers!$B$13*Drivers!$B$14/1000</f>
        <v/>
      </c>
      <c r="I7" s="19">
        <f>Drivers!I$6*Drivers!$B$13*Drivers!$B$14/1000</f>
        <v/>
      </c>
      <c r="J7" s="19">
        <f>Drivers!J$6*Drivers!$B$13*Drivers!$B$14/1000</f>
        <v/>
      </c>
      <c r="K7" s="19">
        <f>Drivers!K$6*Drivers!$B$13*Drivers!$B$14/1000</f>
        <v/>
      </c>
      <c r="L7" s="19">
        <f>Drivers!L$6*Drivers!$B$13*Drivers!$B$14/1000</f>
        <v/>
      </c>
      <c r="M7" s="19">
        <f>Drivers!M$6*Drivers!$B$13*Drivers!$B$14/1000</f>
        <v/>
      </c>
      <c r="N7" s="19">
        <f>Drivers!N$6*Drivers!$B$13*Drivers!$B$14/1000</f>
        <v/>
      </c>
      <c r="O7" s="19">
        <f>Drivers!O$6*Drivers!$B$13*Drivers!$B$14/1000</f>
        <v/>
      </c>
      <c r="P7" s="19">
        <f>Drivers!P$6*Drivers!$B$13*Drivers!$B$14/1000</f>
        <v/>
      </c>
      <c r="Q7" s="19">
        <f>Drivers!Q$6*Drivers!$B$13*Drivers!$B$14/1000</f>
        <v/>
      </c>
      <c r="R7" s="19">
        <f>Drivers!R$6*Drivers!$B$13*Drivers!$B$14/1000</f>
        <v/>
      </c>
      <c r="S7" s="19">
        <f>Drivers!S$6*Drivers!$B$13*Drivers!$B$14/1000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labor</t>
        </is>
      </c>
      <c r="B10" s="19">
        <f>Drivers!B$6*Drivers!$B$13*(1-Drivers!$B$14)/1000</f>
        <v/>
      </c>
      <c r="C10" s="19">
        <f>Drivers!C$6*Drivers!$B$13*(1-Drivers!$B$14)/1000</f>
        <v/>
      </c>
      <c r="D10" s="19">
        <f>Drivers!D$6*Drivers!$B$13*(1-Drivers!$B$14)/1000</f>
        <v/>
      </c>
      <c r="E10" s="19">
        <f>Drivers!E$6*Drivers!$B$13*(1-Drivers!$B$14)/1000</f>
        <v/>
      </c>
      <c r="F10" s="19">
        <f>Drivers!F$6*Drivers!$B$13*(1-Drivers!$B$14)/1000</f>
        <v/>
      </c>
      <c r="G10" s="19">
        <f>Drivers!G$6*Drivers!$B$13*(1-Drivers!$B$14)/1000</f>
        <v/>
      </c>
      <c r="H10" s="19">
        <f>Drivers!H$6*Drivers!$B$13*(1-Drivers!$B$14)/1000</f>
        <v/>
      </c>
      <c r="I10" s="19">
        <f>Drivers!I$6*Drivers!$B$13*(1-Drivers!$B$14)/1000</f>
        <v/>
      </c>
      <c r="J10" s="19">
        <f>Drivers!J$6*Drivers!$B$13*(1-Drivers!$B$14)/1000</f>
        <v/>
      </c>
      <c r="K10" s="19">
        <f>Drivers!K$6*Drivers!$B$13*(1-Drivers!$B$14)/1000</f>
        <v/>
      </c>
      <c r="L10" s="19">
        <f>Drivers!L$6*Drivers!$B$13*(1-Drivers!$B$14)/1000</f>
        <v/>
      </c>
      <c r="M10" s="19">
        <f>Drivers!M$6*Drivers!$B$13*(1-Drivers!$B$14)/1000</f>
        <v/>
      </c>
      <c r="N10" s="19">
        <f>Drivers!N$6*Drivers!$B$13*(1-Drivers!$B$14)/1000</f>
        <v/>
      </c>
      <c r="O10" s="19">
        <f>Drivers!O$6*Drivers!$B$13*(1-Drivers!$B$14)/1000</f>
        <v/>
      </c>
      <c r="P10" s="19">
        <f>Drivers!P$6*Drivers!$B$13*(1-Drivers!$B$14)/1000</f>
        <v/>
      </c>
      <c r="Q10" s="19">
        <f>Drivers!Q$6*Drivers!$B$13*(1-Drivers!$B$14)/1000</f>
        <v/>
      </c>
      <c r="R10" s="19">
        <f>Drivers!R$6*Drivers!$B$13*(1-Drivers!$B$14)/1000</f>
        <v/>
      </c>
      <c r="S10" s="19">
        <f>Drivers!S$6*Drivers!$B$13*(1-Drivers!$B$14)/1000</f>
        <v/>
      </c>
      <c r="T10" s="20">
        <f>SUM(B10:G10)</f>
        <v/>
      </c>
      <c r="U10" s="20">
        <f>SUM(H10:S10)</f>
        <v/>
      </c>
    </row>
    <row r="11">
      <c r="A11" t="inlineStr">
        <is>
          <t>Burden (taxes, benefits, vac/hol)</t>
        </is>
      </c>
      <c r="B11" s="19">
        <f>Drivers!B$6*Drivers!$B$13*Drivers!$B$15/1000</f>
        <v/>
      </c>
      <c r="C11" s="19">
        <f>Drivers!C$6*Drivers!$B$13*Drivers!$B$15/1000</f>
        <v/>
      </c>
      <c r="D11" s="19">
        <f>Drivers!D$6*Drivers!$B$13*Drivers!$B$15/1000</f>
        <v/>
      </c>
      <c r="E11" s="19">
        <f>Drivers!E$6*Drivers!$B$13*Drivers!$B$15/1000</f>
        <v/>
      </c>
      <c r="F11" s="19">
        <f>Drivers!F$6*Drivers!$B$13*Drivers!$B$15/1000</f>
        <v/>
      </c>
      <c r="G11" s="19">
        <f>Drivers!G$6*Drivers!$B$13*Drivers!$B$15/1000</f>
        <v/>
      </c>
      <c r="H11" s="19">
        <f>Drivers!H$6*Drivers!$B$13*Drivers!$B$15/1000</f>
        <v/>
      </c>
      <c r="I11" s="19">
        <f>Drivers!I$6*Drivers!$B$13*Drivers!$B$15/1000</f>
        <v/>
      </c>
      <c r="J11" s="19">
        <f>Drivers!J$6*Drivers!$B$13*Drivers!$B$15/1000</f>
        <v/>
      </c>
      <c r="K11" s="19">
        <f>Drivers!K$6*Drivers!$B$13*Drivers!$B$15/1000</f>
        <v/>
      </c>
      <c r="L11" s="19">
        <f>Drivers!L$6*Drivers!$B$13*Drivers!$B$15/1000</f>
        <v/>
      </c>
      <c r="M11" s="19">
        <f>Drivers!M$6*Drivers!$B$13*Drivers!$B$15/1000</f>
        <v/>
      </c>
      <c r="N11" s="19">
        <f>Drivers!N$6*Drivers!$B$13*Drivers!$B$15/1000</f>
        <v/>
      </c>
      <c r="O11" s="19">
        <f>Drivers!O$6*Drivers!$B$13*Drivers!$B$15/1000</f>
        <v/>
      </c>
      <c r="P11" s="19">
        <f>Drivers!P$6*Drivers!$B$13*Drivers!$B$15/1000</f>
        <v/>
      </c>
      <c r="Q11" s="19">
        <f>Drivers!Q$6*Drivers!$B$13*Drivers!$B$15/1000</f>
        <v/>
      </c>
      <c r="R11" s="19">
        <f>Drivers!R$6*Drivers!$B$13*Drivers!$B$15/1000</f>
        <v/>
      </c>
      <c r="S11" s="19">
        <f>Drivers!S$6*Drivers!$B$13*Drivers!$B$15/1000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Other operating expenses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t="inlineStr">
        <is>
          <t>Corporate overhead allocation</t>
        </is>
      </c>
      <c r="B13" s="19">
        <f>Drivers!$B$17/1000</f>
        <v/>
      </c>
      <c r="C13" s="19">
        <f>Drivers!$B$17/1000</f>
        <v/>
      </c>
      <c r="D13" s="19">
        <f>Drivers!$B$17/1000</f>
        <v/>
      </c>
      <c r="E13" s="19">
        <f>Drivers!$B$17/1000</f>
        <v/>
      </c>
      <c r="F13" s="19">
        <f>Drivers!$B$17/1000</f>
        <v/>
      </c>
      <c r="G13" s="19">
        <f>Drivers!$B$17/1000</f>
        <v/>
      </c>
      <c r="H13" s="19">
        <f>Drivers!$B$17/1000</f>
        <v/>
      </c>
      <c r="I13" s="19">
        <f>Drivers!$B$17/1000</f>
        <v/>
      </c>
      <c r="J13" s="19">
        <f>Drivers!$B$17/1000</f>
        <v/>
      </c>
      <c r="K13" s="19">
        <f>Drivers!$B$17/1000</f>
        <v/>
      </c>
      <c r="L13" s="19">
        <f>Drivers!$B$17/1000</f>
        <v/>
      </c>
      <c r="M13" s="19">
        <f>Drivers!$B$17/1000</f>
        <v/>
      </c>
      <c r="N13" s="19">
        <f>Drivers!$B$17/1000</f>
        <v/>
      </c>
      <c r="O13" s="19">
        <f>Drivers!$B$17/1000</f>
        <v/>
      </c>
      <c r="P13" s="19">
        <f>Drivers!$B$17/1000</f>
        <v/>
      </c>
      <c r="Q13" s="19">
        <f>Drivers!$B$17/1000</f>
        <v/>
      </c>
      <c r="R13" s="19">
        <f>Drivers!$B$17/1000</f>
        <v/>
      </c>
      <c r="S13" s="19">
        <f>Drivers!$B$17/1000</f>
        <v/>
      </c>
      <c r="T13" s="20">
        <f>SUM(B13:G13)</f>
        <v/>
      </c>
      <c r="U13" s="20">
        <f>SUM(H13:S13)</f>
        <v/>
      </c>
    </row>
    <row r="14">
      <c r="A14" s="3" t="inlineStr">
        <is>
          <t>Total Operating Expenses</t>
        </is>
      </c>
      <c r="B14" s="19">
        <f>SUM(B10:B13)</f>
        <v/>
      </c>
      <c r="C14" s="19">
        <f>SUM(C10:C13)</f>
        <v/>
      </c>
      <c r="D14" s="19">
        <f>SUM(D10:D13)</f>
        <v/>
      </c>
      <c r="E14" s="19">
        <f>SUM(E10:E13)</f>
        <v/>
      </c>
      <c r="F14" s="19">
        <f>SUM(F10:F13)</f>
        <v/>
      </c>
      <c r="G14" s="19">
        <f>SUM(G10:G13)</f>
        <v/>
      </c>
      <c r="H14" s="19">
        <f>SUM(H10:H13)</f>
        <v/>
      </c>
      <c r="I14" s="19">
        <f>SUM(I10:I13)</f>
        <v/>
      </c>
      <c r="J14" s="19">
        <f>SUM(J10:J13)</f>
        <v/>
      </c>
      <c r="K14" s="19">
        <f>SUM(K10:K13)</f>
        <v/>
      </c>
      <c r="L14" s="19">
        <f>SUM(L10:L13)</f>
        <v/>
      </c>
      <c r="M14" s="19">
        <f>SUM(M10:M13)</f>
        <v/>
      </c>
      <c r="N14" s="19">
        <f>SUM(N10:N13)</f>
        <v/>
      </c>
      <c r="O14" s="19">
        <f>SUM(O10:O13)</f>
        <v/>
      </c>
      <c r="P14" s="19">
        <f>SUM(P10:P13)</f>
        <v/>
      </c>
      <c r="Q14" s="19">
        <f>SUM(Q10:Q13)</f>
        <v/>
      </c>
      <c r="R14" s="19">
        <f>SUM(R10:R13)</f>
        <v/>
      </c>
      <c r="S14" s="19">
        <f>SUM(S10:S13)</f>
        <v/>
      </c>
      <c r="T14" s="20">
        <f>SUM(B14:G14)</f>
        <v/>
      </c>
      <c r="U14" s="20">
        <f>SUM(H14:S14)</f>
        <v/>
      </c>
    </row>
    <row r="15">
      <c r="A15" s="3" t="inlineStr">
        <is>
          <t>Operating Income / (Loss)</t>
        </is>
      </c>
      <c r="B15" s="19">
        <f>B8-B14</f>
        <v/>
      </c>
      <c r="C15" s="19">
        <f>C8-C14</f>
        <v/>
      </c>
      <c r="D15" s="19">
        <f>D8-D14</f>
        <v/>
      </c>
      <c r="E15" s="19">
        <f>E8-E14</f>
        <v/>
      </c>
      <c r="F15" s="19">
        <f>F8-F14</f>
        <v/>
      </c>
      <c r="G15" s="19">
        <f>G8-G14</f>
        <v/>
      </c>
      <c r="H15" s="19">
        <f>H8-H14</f>
        <v/>
      </c>
      <c r="I15" s="19">
        <f>I8-I14</f>
        <v/>
      </c>
      <c r="J15" s="19">
        <f>J8-J14</f>
        <v/>
      </c>
      <c r="K15" s="19">
        <f>K8-K14</f>
        <v/>
      </c>
      <c r="L15" s="19">
        <f>L8-L14</f>
        <v/>
      </c>
      <c r="M15" s="19">
        <f>M8-M14</f>
        <v/>
      </c>
      <c r="N15" s="19">
        <f>N8-N14</f>
        <v/>
      </c>
      <c r="O15" s="19">
        <f>O8-O14</f>
        <v/>
      </c>
      <c r="P15" s="19">
        <f>P8-P14</f>
        <v/>
      </c>
      <c r="Q15" s="19">
        <f>Q8-Q14</f>
        <v/>
      </c>
      <c r="R15" s="19">
        <f>R8-R14</f>
        <v/>
      </c>
      <c r="S15" s="19">
        <f>S8-S14</f>
        <v/>
      </c>
      <c r="T15" s="20">
        <f>SUM(B15:G15)</f>
        <v/>
      </c>
      <c r="U15" s="20">
        <f>SUM(H15:S15)</f>
        <v/>
      </c>
    </row>
    <row r="16">
      <c r="A16" t="inlineStr">
        <is>
          <t>Interest (parent note)</t>
        </is>
      </c>
      <c r="B16" s="19">
        <f>'Cash &amp; Note'!B6*Drivers!$B$18/12</f>
        <v/>
      </c>
      <c r="C16" s="19">
        <f>'Cash &amp; Note'!C6*Drivers!$B$18/12</f>
        <v/>
      </c>
      <c r="D16" s="19">
        <f>'Cash &amp; Note'!D6*Drivers!$B$18/12</f>
        <v/>
      </c>
      <c r="E16" s="19">
        <f>'Cash &amp; Note'!E6*Drivers!$B$18/12</f>
        <v/>
      </c>
      <c r="F16" s="19">
        <f>'Cash &amp; Note'!F6*Drivers!$B$18/12</f>
        <v/>
      </c>
      <c r="G16" s="19">
        <f>'Cash &amp; Note'!G6*Drivers!$B$18/12</f>
        <v/>
      </c>
      <c r="H16" s="19">
        <f>'Cash &amp; Note'!H6*Drivers!$B$18/12</f>
        <v/>
      </c>
      <c r="I16" s="19">
        <f>'Cash &amp; Note'!I6*Drivers!$B$18/12</f>
        <v/>
      </c>
      <c r="J16" s="19">
        <f>'Cash &amp; Note'!J6*Drivers!$B$18/12</f>
        <v/>
      </c>
      <c r="K16" s="19">
        <f>'Cash &amp; Note'!K6*Drivers!$B$18/12</f>
        <v/>
      </c>
      <c r="L16" s="19">
        <f>'Cash &amp; Note'!L6*Drivers!$B$18/12</f>
        <v/>
      </c>
      <c r="M16" s="19">
        <f>'Cash &amp; Note'!M6*Drivers!$B$18/12</f>
        <v/>
      </c>
      <c r="N16" s="19">
        <f>'Cash &amp; Note'!N6*Drivers!$B$18/12</f>
        <v/>
      </c>
      <c r="O16" s="19">
        <f>'Cash &amp; Note'!O6*Drivers!$B$18/12</f>
        <v/>
      </c>
      <c r="P16" s="19">
        <f>'Cash &amp; Note'!P6*Drivers!$B$18/12</f>
        <v/>
      </c>
      <c r="Q16" s="19">
        <f>'Cash &amp; Note'!Q6*Drivers!$B$18/12</f>
        <v/>
      </c>
      <c r="R16" s="19">
        <f>'Cash &amp; Note'!R6*Drivers!$B$18/12</f>
        <v/>
      </c>
      <c r="S16" s="19">
        <f>'Cash &amp; Note'!S6*Drivers!$B$18/12</f>
        <v/>
      </c>
      <c r="T16" s="20">
        <f>SUM(B16:G16)</f>
        <v/>
      </c>
      <c r="U16" s="20">
        <f>SUM(H16:S16)</f>
        <v/>
      </c>
    </row>
    <row r="17">
      <c r="A17" s="3" t="inlineStr">
        <is>
          <t>Net Income / (Loss)</t>
        </is>
      </c>
      <c r="B17" s="19">
        <f>B15-B16</f>
        <v/>
      </c>
      <c r="C17" s="19">
        <f>C15-C16</f>
        <v/>
      </c>
      <c r="D17" s="19">
        <f>D15-D16</f>
        <v/>
      </c>
      <c r="E17" s="19">
        <f>E15-E16</f>
        <v/>
      </c>
      <c r="F17" s="19">
        <f>F15-F16</f>
        <v/>
      </c>
      <c r="G17" s="19">
        <f>G15-G16</f>
        <v/>
      </c>
      <c r="H17" s="19">
        <f>H15-H16</f>
        <v/>
      </c>
      <c r="I17" s="19">
        <f>I15-I16</f>
        <v/>
      </c>
      <c r="J17" s="19">
        <f>J15-J16</f>
        <v/>
      </c>
      <c r="K17" s="19">
        <f>K15-K16</f>
        <v/>
      </c>
      <c r="L17" s="19">
        <f>L15-L16</f>
        <v/>
      </c>
      <c r="M17" s="19">
        <f>M15-M16</f>
        <v/>
      </c>
      <c r="N17" s="19">
        <f>N15-N16</f>
        <v/>
      </c>
      <c r="O17" s="19">
        <f>O15-O16</f>
        <v/>
      </c>
      <c r="P17" s="19">
        <f>P15-P16</f>
        <v/>
      </c>
      <c r="Q17" s="19">
        <f>Q15-Q16</f>
        <v/>
      </c>
      <c r="R17" s="19">
        <f>R15-R16</f>
        <v/>
      </c>
      <c r="S17" s="19">
        <f>S15-S16</f>
        <v/>
      </c>
      <c r="T17" s="20">
        <f>SUM(B17:G17)</f>
        <v/>
      </c>
      <c r="U17" s="20">
        <f>SUM(H17:S17)</f>
        <v/>
      </c>
    </row>
    <row r="18">
      <c r="A18" t="inlineStr">
        <is>
          <t>OILI return % (OI − interest) ÷ revenue</t>
        </is>
      </c>
      <c r="B18" s="21">
        <f>(B15-B16)/B6</f>
        <v/>
      </c>
      <c r="C18" s="21">
        <f>(C15-C16)/C6</f>
        <v/>
      </c>
      <c r="D18" s="21">
        <f>(D15-D16)/D6</f>
        <v/>
      </c>
      <c r="E18" s="21">
        <f>(E15-E16)/E6</f>
        <v/>
      </c>
      <c r="F18" s="21">
        <f>(F15-F16)/F6</f>
        <v/>
      </c>
      <c r="G18" s="21">
        <f>(G15-G16)/G6</f>
        <v/>
      </c>
      <c r="H18" s="21">
        <f>(H15-H16)/H6</f>
        <v/>
      </c>
      <c r="I18" s="21">
        <f>(I15-I16)/I6</f>
        <v/>
      </c>
      <c r="J18" s="21">
        <f>(J15-J16)/J6</f>
        <v/>
      </c>
      <c r="K18" s="21">
        <f>(K15-K16)/K6</f>
        <v/>
      </c>
      <c r="L18" s="21">
        <f>(L15-L16)/L6</f>
        <v/>
      </c>
      <c r="M18" s="21">
        <f>(M15-M16)/M6</f>
        <v/>
      </c>
      <c r="N18" s="21">
        <f>(N15-N16)/N6</f>
        <v/>
      </c>
      <c r="O18" s="21">
        <f>(O15-O16)/O6</f>
        <v/>
      </c>
      <c r="P18" s="21">
        <f>(P15-P16)/P6</f>
        <v/>
      </c>
      <c r="Q18" s="21">
        <f>(Q15-Q16)/Q6</f>
        <v/>
      </c>
      <c r="R18" s="21">
        <f>(R15-R16)/R6</f>
        <v/>
      </c>
      <c r="S18" s="21">
        <f>(S15-S16)/S6</f>
        <v/>
      </c>
      <c r="T18" s="21">
        <f>(T15-T16)/T6</f>
        <v/>
      </c>
      <c r="U18" s="21">
        <f>(U15-U16)/U6</f>
        <v/>
      </c>
    </row>
    <row r="20">
      <c r="A20" s="2" t="inlineStr">
        <is>
          <t>Direct labor follows the GL convention (~92% of wages charged to jobs), so gross margin here is comparable to the GL statements — improvement comes from revenue per FTE, not reclassification.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P&amp;L'!B17</f>
        <v/>
      </c>
      <c r="C5" s="19">
        <f>'Forecast P&amp;L'!C17</f>
        <v/>
      </c>
      <c r="D5" s="19">
        <f>'Forecast P&amp;L'!D17</f>
        <v/>
      </c>
      <c r="E5" s="19">
        <f>'Forecast P&amp;L'!E17</f>
        <v/>
      </c>
      <c r="F5" s="19">
        <f>'Forecast P&amp;L'!F17</f>
        <v/>
      </c>
      <c r="G5" s="19">
        <f>'Forecast P&amp;L'!G17</f>
        <v/>
      </c>
      <c r="H5" s="19">
        <f>'Forecast P&amp;L'!H17</f>
        <v/>
      </c>
      <c r="I5" s="19">
        <f>'Forecast P&amp;L'!I17</f>
        <v/>
      </c>
      <c r="J5" s="19">
        <f>'Forecast P&amp;L'!J17</f>
        <v/>
      </c>
      <c r="K5" s="19">
        <f>'Forecast P&amp;L'!K17</f>
        <v/>
      </c>
      <c r="L5" s="19">
        <f>'Forecast P&amp;L'!L17</f>
        <v/>
      </c>
      <c r="M5" s="19">
        <f>'Forecast P&amp;L'!M17</f>
        <v/>
      </c>
      <c r="N5" s="19">
        <f>'Forecast P&amp;L'!N17</f>
        <v/>
      </c>
      <c r="O5" s="19">
        <f>'Forecast P&amp;L'!O17</f>
        <v/>
      </c>
      <c r="P5" s="19">
        <f>'Forecast P&amp;L'!P17</f>
        <v/>
      </c>
      <c r="Q5" s="19">
        <f>'Forecast P&amp;L'!Q17</f>
        <v/>
      </c>
      <c r="R5" s="19">
        <f>'Forecast P&amp;L'!R17</f>
        <v/>
      </c>
      <c r="S5" s="19">
        <f>'Forecast P&amp;L'!S17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P&amp;L'!B6*Drivers!$B$19/30.4</f>
        <v/>
      </c>
      <c r="C7" s="19">
        <f>'Forecast P&amp;L'!C6*Drivers!$B$19/30.4</f>
        <v/>
      </c>
      <c r="D7" s="19">
        <f>'Forecast P&amp;L'!D6*Drivers!$B$19/30.4</f>
        <v/>
      </c>
      <c r="E7" s="19">
        <f>'Forecast P&amp;L'!E6*Drivers!$B$19/30.4</f>
        <v/>
      </c>
      <c r="F7" s="19">
        <f>'Forecast P&amp;L'!F6*Drivers!$B$19/30.4</f>
        <v/>
      </c>
      <c r="G7" s="19">
        <f>'Forecast P&amp;L'!G6*Drivers!$B$19/30.4</f>
        <v/>
      </c>
      <c r="H7" s="19">
        <f>'Forecast P&amp;L'!H6*Drivers!$B$19/30.4</f>
        <v/>
      </c>
      <c r="I7" s="19">
        <f>'Forecast P&amp;L'!I6*Drivers!$B$19/30.4</f>
        <v/>
      </c>
      <c r="J7" s="19">
        <f>'Forecast P&amp;L'!J6*Drivers!$B$19/30.4</f>
        <v/>
      </c>
      <c r="K7" s="19">
        <f>'Forecast P&amp;L'!K6*Drivers!$B$19/30.4</f>
        <v/>
      </c>
      <c r="L7" s="19">
        <f>'Forecast P&amp;L'!L6*Drivers!$B$19/30.4</f>
        <v/>
      </c>
      <c r="M7" s="19">
        <f>'Forecast P&amp;L'!M6*Drivers!$B$19/30.4</f>
        <v/>
      </c>
      <c r="N7" s="19">
        <f>'Forecast P&amp;L'!N6*Drivers!$B$19/30.4</f>
        <v/>
      </c>
      <c r="O7" s="19">
        <f>'Forecast P&amp;L'!O6*Drivers!$B$19/30.4</f>
        <v/>
      </c>
      <c r="P7" s="19">
        <f>'Forecast P&amp;L'!P6*Drivers!$B$19/30.4</f>
        <v/>
      </c>
      <c r="Q7" s="19">
        <f>'Forecast P&amp;L'!Q6*Drivers!$B$19/30.4</f>
        <v/>
      </c>
      <c r="R7" s="19">
        <f>'Forecast P&amp;L'!R6*Drivers!$B$19/30.4</f>
        <v/>
      </c>
      <c r="S7" s="19">
        <f>'Forecast P&amp;L'!S6*Drivers!$B$19/30.4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7/11/26).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B14" s="3" t="inlineStr">
        <is>
          <t>Total backlog remaining</t>
        </is>
      </c>
      <c r="E14" s="22">
        <f>SUM(E5:E13)</f>
        <v/>
      </c>
    </row>
    <row r="16">
      <c r="A16" s="3" t="inlineStr">
        <is>
          <t>PIPELINE — pending bids (CVR scope)</t>
        </is>
      </c>
    </row>
    <row r="17">
      <c r="A17" s="4" t="inlineStr">
        <is>
          <t>Bid</t>
        </is>
      </c>
      <c r="B17" s="4" t="inlineStr">
        <is>
          <t>Customer</t>
        </is>
      </c>
      <c r="C17" s="4" t="inlineStr">
        <is>
          <t>CVR value</t>
        </is>
      </c>
      <c r="D17" s="4" t="inlineStr">
        <is>
          <t>Win prob.</t>
        </is>
      </c>
      <c r="E17" s="4" t="inlineStr">
        <is>
          <t>Expected</t>
        </is>
      </c>
      <c r="F17" s="4" t="inlineStr">
        <is>
          <t>Expected award</t>
        </is>
      </c>
    </row>
    <row r="18">
      <c r="A18" s="11" t="inlineStr">
        <is>
          <t>Frontier Make Ready</t>
        </is>
      </c>
      <c r="B18" s="11" t="inlineStr">
        <is>
          <t>Steuben County REMC</t>
        </is>
      </c>
      <c r="C18" s="19" t="n">
        <v>100</v>
      </c>
      <c r="D18" s="7" t="n">
        <v>0.5</v>
      </c>
      <c r="E18" s="19">
        <f>C18*D18</f>
        <v/>
      </c>
      <c r="F18" s="11" t="inlineStr">
        <is>
          <t>Q3-26</t>
        </is>
      </c>
    </row>
    <row r="19">
      <c r="A19" s="11" t="inlineStr">
        <is>
          <t>Jacksonburg–Gateway (EPC-paired $3.55M)</t>
        </is>
      </c>
      <c r="B19" s="11" t="inlineStr">
        <is>
          <t>Hoosier Energy</t>
        </is>
      </c>
      <c r="C19" s="19" t="n">
        <v>160</v>
      </c>
      <c r="D19" s="7" t="n">
        <v>0.5</v>
      </c>
      <c r="E19" s="19">
        <f>C19*D19</f>
        <v/>
      </c>
      <c r="F19" s="11" t="inlineStr">
        <is>
          <t>Q4-26</t>
        </is>
      </c>
    </row>
    <row r="20">
      <c r="A20" s="11" t="inlineStr">
        <is>
          <t>Rosehill–Rockport (EPC-paired $5.59M)</t>
        </is>
      </c>
      <c r="B20" s="11" t="inlineStr">
        <is>
          <t>Hoosier Energy</t>
        </is>
      </c>
      <c r="C20" s="19" t="n">
        <v>290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Joint Use Audit</t>
        </is>
      </c>
      <c r="B21" s="11" t="inlineStr">
        <is>
          <t>Lansing Board of Water &amp; Light</t>
        </is>
      </c>
      <c r="C21" s="19" t="n">
        <v>1350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2026 Pole Replacements (EPC-paired $3.45M)</t>
        </is>
      </c>
      <c r="B22" s="11" t="inlineStr">
        <is>
          <t>Consumers Energy</t>
        </is>
      </c>
      <c r="C22" s="19" t="n">
        <v>276</v>
      </c>
      <c r="D22" s="7" t="n">
        <v>0.67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(ON HOLD)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hold</t>
        </is>
      </c>
    </row>
    <row r="24">
      <c r="B24" s="3" t="inlineStr">
        <is>
          <t>Total probability-weighted pipeline</t>
        </is>
      </c>
      <c r="E24" s="22">
        <f>SUM(E18:E23)</f>
        <v/>
      </c>
    </row>
    <row r="26">
      <c r="A26" s="3" t="inlineStr">
        <is>
          <t>COVERAGE CHECK</t>
        </is>
      </c>
    </row>
    <row r="27">
      <c r="A27" s="11" t="inlineStr">
        <is>
          <t>Forecast revenue, Jul-26 – Dec-27</t>
        </is>
      </c>
      <c r="B27" s="19">
        <f>'Forecast P&amp;L'!T6+'Forecast P&amp;L'!U6</f>
        <v/>
      </c>
    </row>
    <row r="28">
      <c r="A28" s="11" t="inlineStr">
        <is>
          <t>Booked + expected work (backlog + weighted pipeline)</t>
        </is>
      </c>
      <c r="B28" s="19">
        <f>E14+E24</f>
        <v/>
      </c>
    </row>
    <row r="29">
      <c r="A29" s="11" t="inlineStr">
        <is>
          <t>Coverage ratio</t>
        </is>
      </c>
      <c r="B29" s="10">
        <f>B28/B27</f>
        <v/>
      </c>
    </row>
    <row r="31">
      <c r="A31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P&amp;L'!T15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P&amp;L'!T16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P&amp;L'!T17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4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P&amp;L'!U15</f>
        <v/>
      </c>
    </row>
    <row r="17">
      <c r="A17" s="11" t="inlineStr">
        <is>
          <t>Net Income / (Loss)</t>
        </is>
      </c>
      <c r="B17" s="19">
        <f>'Forecast P&amp;L'!U17</f>
        <v/>
      </c>
    </row>
    <row r="18">
      <c r="A18" s="11" t="inlineStr">
        <is>
          <t>OILI return % (FY27)</t>
        </is>
      </c>
      <c r="B18" s="21">
        <f>('Forecast P&amp;L'!U15-'Forecast P&amp;L'!U16)/'Forecast P&amp;L'!U6</f>
        <v/>
      </c>
    </row>
    <row r="19">
      <c r="A19" s="11" t="inlineStr">
        <is>
          <t>Note balance at 12/31/27</t>
        </is>
      </c>
      <c r="B19" s="24">
        <f>'Cash &amp; Note'!S10</f>
        <v/>
      </c>
    </row>
    <row r="21">
      <c r="A21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Pipeline'!E14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Pipeline'!B28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(67%)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Forecast &amp; work coverage — with pipeline toggle</t>
        </is>
      </c>
    </row>
    <row r="2">
      <c r="A2" s="2" t="inlineStr">
        <is>
          <t>Native chart wired to live cells. Set the toggle to 0 to see booked backlog only; edit job remainders or bid probabilities and everything redraws.</t>
        </is>
      </c>
    </row>
    <row r="3">
      <c r="A3" s="3" t="inlineStr">
        <is>
          <t>Include weighted pipeline? (1 = yes, 0 = no)</t>
        </is>
      </c>
      <c r="B3" s="8" t="n">
        <v>1</v>
      </c>
    </row>
    <row r="5">
      <c r="A5" t="inlineStr">
        <is>
          <t>Coverage of forecast</t>
        </is>
      </c>
      <c r="B5" s="25">
        <f>(SUM(B34:S34)+SUM(B40:S40))/SUM(B41:S41)</f>
        <v/>
      </c>
    </row>
    <row r="6">
      <c r="A6" t="inlineStr">
        <is>
          <t>Gap to originate ($K)</t>
        </is>
      </c>
      <c r="B6" s="26">
        <f>SUM(B41:S41)-SUM(B34:S34)-SUM(B40:S40)</f>
        <v/>
      </c>
    </row>
    <row r="23">
      <c r="A23" s="3" t="inlineStr">
        <is>
          <t>CHART DATA ($K/month) — formulas reference Backlog &amp; Pipeline and Forecast P&amp;L</t>
        </is>
      </c>
    </row>
    <row r="24">
      <c r="A24" t="inlineStr">
        <is>
          <t>Month</t>
        </is>
      </c>
      <c r="B24" t="inlineStr">
        <is>
          <t>Jul-26</t>
        </is>
      </c>
      <c r="C24" t="inlineStr">
        <is>
          <t>Aug-26</t>
        </is>
      </c>
      <c r="D24" t="inlineStr">
        <is>
          <t>Sep-26</t>
        </is>
      </c>
      <c r="E24" t="inlineStr">
        <is>
          <t>Oct-26</t>
        </is>
      </c>
      <c r="F24" t="inlineStr">
        <is>
          <t>Nov-26</t>
        </is>
      </c>
      <c r="G24" t="inlineStr">
        <is>
          <t>Dec-26</t>
        </is>
      </c>
      <c r="H24" t="inlineStr">
        <is>
          <t>Jan-27</t>
        </is>
      </c>
      <c r="I24" t="inlineStr">
        <is>
          <t>Feb-27</t>
        </is>
      </c>
      <c r="J24" t="inlineStr">
        <is>
          <t>Mar-27</t>
        </is>
      </c>
      <c r="K24" t="inlineStr">
        <is>
          <t>Apr-27</t>
        </is>
      </c>
      <c r="L24" t="inlineStr">
        <is>
          <t>May-27</t>
        </is>
      </c>
      <c r="M24" t="inlineStr">
        <is>
          <t>Jun-27</t>
        </is>
      </c>
      <c r="N24" t="inlineStr">
        <is>
          <t>Jul-27</t>
        </is>
      </c>
      <c r="O24" t="inlineStr">
        <is>
          <t>Aug-27</t>
        </is>
      </c>
      <c r="P24" t="inlineStr">
        <is>
          <t>Sep-27</t>
        </is>
      </c>
      <c r="Q24" t="inlineStr">
        <is>
          <t>Oct-27</t>
        </is>
      </c>
      <c r="R24" t="inlineStr">
        <is>
          <t>Nov-27</t>
        </is>
      </c>
      <c r="S24" t="inlineStr">
        <is>
          <t>Dec-27</t>
        </is>
      </c>
    </row>
    <row r="25">
      <c r="A25" s="2" t="inlineStr">
        <is>
          <t>burn: DTE — Catalina Conversion Ph 3</t>
        </is>
      </c>
      <c r="B25">
        <f>'Backlog &amp; Pipeline'!$E5/6</f>
        <v/>
      </c>
      <c r="C25">
        <f>'Backlog &amp; Pipeline'!$E5/6</f>
        <v/>
      </c>
      <c r="D25">
        <f>'Backlog &amp; Pipeline'!$E5/6</f>
        <v/>
      </c>
      <c r="E25">
        <f>'Backlog &amp; Pipeline'!$E5/6</f>
        <v/>
      </c>
      <c r="F25">
        <f>'Backlog &amp; Pipeline'!$E5/6</f>
        <v/>
      </c>
      <c r="G25">
        <f>'Backlog &amp; Pipeline'!$E5/6</f>
        <v/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</row>
    <row r="26">
      <c r="A26" s="2" t="inlineStr">
        <is>
          <t>burn: DTE — New Baltimore Conversion</t>
        </is>
      </c>
      <c r="B26">
        <f>'Backlog &amp; Pipeline'!$E6/18</f>
        <v/>
      </c>
      <c r="C26">
        <f>'Backlog &amp; Pipeline'!$E6/18</f>
        <v/>
      </c>
      <c r="D26">
        <f>'Backlog &amp; Pipeline'!$E6/18</f>
        <v/>
      </c>
      <c r="E26">
        <f>'Backlog &amp; Pipeline'!$E6/18</f>
        <v/>
      </c>
      <c r="F26">
        <f>'Backlog &amp; Pipeline'!$E6/18</f>
        <v/>
      </c>
      <c r="G26">
        <f>'Backlog &amp; Pipeline'!$E6/18</f>
        <v/>
      </c>
      <c r="H26">
        <f>'Backlog &amp; Pipeline'!$E6/18</f>
        <v/>
      </c>
      <c r="I26">
        <f>'Backlog &amp; Pipeline'!$E6/18</f>
        <v/>
      </c>
      <c r="J26">
        <f>'Backlog &amp; Pipeline'!$E6/18</f>
        <v/>
      </c>
      <c r="K26">
        <f>'Backlog &amp; Pipeline'!$E6/18</f>
        <v/>
      </c>
      <c r="L26">
        <f>'Backlog &amp; Pipeline'!$E6/18</f>
        <v/>
      </c>
      <c r="M26">
        <f>'Backlog &amp; Pipeline'!$E6/18</f>
        <v/>
      </c>
      <c r="N26">
        <f>'Backlog &amp; Pipeline'!$E6/18</f>
        <v/>
      </c>
      <c r="O26">
        <f>'Backlog &amp; Pipeline'!$E6/18</f>
        <v/>
      </c>
      <c r="P26">
        <f>'Backlog &amp; Pipeline'!$E6/18</f>
        <v/>
      </c>
      <c r="Q26">
        <f>'Backlog &amp; Pipeline'!$E6/18</f>
        <v/>
      </c>
      <c r="R26">
        <f>'Backlog &amp; Pipeline'!$E6/18</f>
        <v/>
      </c>
      <c r="S26">
        <f>'Backlog &amp; Pipeline'!$E6/18</f>
        <v/>
      </c>
    </row>
    <row r="27">
      <c r="A27" s="2" t="inlineStr">
        <is>
          <t>burn: Consumers — 2026 HVD Line Sensors</t>
        </is>
      </c>
      <c r="B27">
        <f>'Backlog &amp; Pipeline'!$E7/4</f>
        <v/>
      </c>
      <c r="C27">
        <f>'Backlog &amp; Pipeline'!$E7/4</f>
        <v/>
      </c>
      <c r="D27">
        <f>'Backlog &amp; Pipeline'!$E7/4</f>
        <v/>
      </c>
      <c r="E27">
        <f>'Backlog &amp; Pipeline'!$E7/4</f>
        <v/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A28" s="2" t="inlineStr">
        <is>
          <t>burn: Cloverland — Manistique Pump Stn</t>
        </is>
      </c>
      <c r="B28">
        <f>'Backlog &amp; Pipeline'!$E8/3</f>
        <v/>
      </c>
      <c r="C28">
        <f>'Backlog &amp; Pipeline'!$E8/3</f>
        <v/>
      </c>
      <c r="D28">
        <f>'Backlog &amp; Pipeline'!$E8/3</f>
        <v/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</row>
    <row r="29">
      <c r="A29" s="2" t="inlineStr">
        <is>
          <t>burn: CenterPoint — Gateway 69kV</t>
        </is>
      </c>
      <c r="B29">
        <f>'Backlog &amp; Pipeline'!$E9/2</f>
        <v/>
      </c>
      <c r="C29">
        <f>'Backlog &amp; Pipeline'!$E9/2</f>
        <v/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</row>
    <row r="30">
      <c r="A30" s="2" t="inlineStr">
        <is>
          <t>burn: CenterPoint — Rockport 69kV</t>
        </is>
      </c>
      <c r="B30">
        <f>'Backlog &amp; Pipeline'!$E10/2</f>
        <v/>
      </c>
      <c r="C30">
        <f>'Backlog &amp; Pipeline'!$E10/2</f>
        <v/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</row>
    <row r="31">
      <c r="A31" s="2" t="inlineStr">
        <is>
          <t>burn: CenterPoint — Angel Mounds 69kV</t>
        </is>
      </c>
      <c r="B31">
        <f>'Backlog &amp; Pipeline'!$E11/4</f>
        <v/>
      </c>
      <c r="C31">
        <f>'Backlog &amp; Pipeline'!$E11/4</f>
        <v/>
      </c>
      <c r="D31">
        <f>'Backlog &amp; Pipeline'!$E11/4</f>
        <v/>
      </c>
      <c r="E31">
        <f>'Backlog &amp; Pipeline'!$E11/4</f>
        <v/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2" t="inlineStr">
        <is>
          <t>burn: CenterPoint — Northwest 69kV</t>
        </is>
      </c>
      <c r="B32">
        <f>'Backlog &amp; Pipeline'!$E12/14</f>
        <v/>
      </c>
      <c r="C32">
        <f>'Backlog &amp; Pipeline'!$E12/14</f>
        <v/>
      </c>
      <c r="D32">
        <f>'Backlog &amp; Pipeline'!$E12/14</f>
        <v/>
      </c>
      <c r="E32">
        <f>'Backlog &amp; Pipeline'!$E12/14</f>
        <v/>
      </c>
      <c r="F32">
        <f>'Backlog &amp; Pipeline'!$E12/14</f>
        <v/>
      </c>
      <c r="G32">
        <f>'Backlog &amp; Pipeline'!$E12/14</f>
        <v/>
      </c>
      <c r="H32">
        <f>'Backlog &amp; Pipeline'!$E12/14</f>
        <v/>
      </c>
      <c r="I32">
        <f>'Backlog &amp; Pipeline'!$E12/14</f>
        <v/>
      </c>
      <c r="J32">
        <f>'Backlog &amp; Pipeline'!$E12/14</f>
        <v/>
      </c>
      <c r="K32">
        <f>'Backlog &amp; Pipeline'!$E12/14</f>
        <v/>
      </c>
      <c r="L32">
        <f>'Backlog &amp; Pipeline'!$E12/14</f>
        <v/>
      </c>
      <c r="M32">
        <f>'Backlog &amp; Pipeline'!$E12/14</f>
        <v/>
      </c>
      <c r="N32">
        <f>'Backlog &amp; Pipeline'!$E12/14</f>
        <v/>
      </c>
      <c r="O32">
        <f>'Backlog &amp; Pipeline'!$E12/14</f>
        <v/>
      </c>
      <c r="P32" t="n">
        <v>0</v>
      </c>
      <c r="Q32" t="n">
        <v>0</v>
      </c>
      <c r="R32" t="n">
        <v>0</v>
      </c>
      <c r="S32" t="n">
        <v>0</v>
      </c>
    </row>
    <row r="33">
      <c r="A33" s="2" t="inlineStr">
        <is>
          <t>burn: CenterPoint — Leonard Rd 69kV</t>
        </is>
      </c>
      <c r="B33">
        <f>'Backlog &amp; Pipeline'!$E13/16</f>
        <v/>
      </c>
      <c r="C33">
        <f>'Backlog &amp; Pipeline'!$E13/16</f>
        <v/>
      </c>
      <c r="D33">
        <f>'Backlog &amp; Pipeline'!$E13/16</f>
        <v/>
      </c>
      <c r="E33">
        <f>'Backlog &amp; Pipeline'!$E13/16</f>
        <v/>
      </c>
      <c r="F33">
        <f>'Backlog &amp; Pipeline'!$E13/16</f>
        <v/>
      </c>
      <c r="G33">
        <f>'Backlog &amp; Pipeline'!$E13/16</f>
        <v/>
      </c>
      <c r="H33">
        <f>'Backlog &amp; Pipeline'!$E13/16</f>
        <v/>
      </c>
      <c r="I33">
        <f>'Backlog &amp; Pipeline'!$E13/16</f>
        <v/>
      </c>
      <c r="J33">
        <f>'Backlog &amp; Pipeline'!$E13/16</f>
        <v/>
      </c>
      <c r="K33">
        <f>'Backlog &amp; Pipeline'!$E13/16</f>
        <v/>
      </c>
      <c r="L33">
        <f>'Backlog &amp; Pipeline'!$E13/16</f>
        <v/>
      </c>
      <c r="M33">
        <f>'Backlog &amp; Pipeline'!$E13/16</f>
        <v/>
      </c>
      <c r="N33">
        <f>'Backlog &amp; Pipeline'!$E13/16</f>
        <v/>
      </c>
      <c r="O33">
        <f>'Backlog &amp; Pipeline'!$E13/16</f>
        <v/>
      </c>
      <c r="P33">
        <f>'Backlog &amp; Pipeline'!$E13/16</f>
        <v/>
      </c>
      <c r="Q33">
        <f>'Backlog &amp; Pipeline'!$E13/16</f>
        <v/>
      </c>
      <c r="R33" t="n">
        <v>0</v>
      </c>
      <c r="S33" t="n">
        <v>0</v>
      </c>
    </row>
    <row r="34">
      <c r="A34" s="3" t="inlineStr">
        <is>
          <t>Booked backlog</t>
        </is>
      </c>
      <c r="B34">
        <f>SUM(B25:B33)</f>
        <v/>
      </c>
      <c r="C34">
        <f>SUM(C25:C33)</f>
        <v/>
      </c>
      <c r="D34">
        <f>SUM(D25:D33)</f>
        <v/>
      </c>
      <c r="E34">
        <f>SUM(E25:E33)</f>
        <v/>
      </c>
      <c r="F34">
        <f>SUM(F25:F33)</f>
        <v/>
      </c>
      <c r="G34">
        <f>SUM(G25:G33)</f>
        <v/>
      </c>
      <c r="H34">
        <f>SUM(H25:H33)</f>
        <v/>
      </c>
      <c r="I34">
        <f>SUM(I25:I33)</f>
        <v/>
      </c>
      <c r="J34">
        <f>SUM(J25:J33)</f>
        <v/>
      </c>
      <c r="K34">
        <f>SUM(K25:K33)</f>
        <v/>
      </c>
      <c r="L34">
        <f>SUM(L25:L33)</f>
        <v/>
      </c>
      <c r="M34">
        <f>SUM(M25:M33)</f>
        <v/>
      </c>
      <c r="N34">
        <f>SUM(N25:N33)</f>
        <v/>
      </c>
      <c r="O34">
        <f>SUM(O25:O33)</f>
        <v/>
      </c>
      <c r="P34">
        <f>SUM(P25:P33)</f>
        <v/>
      </c>
      <c r="Q34">
        <f>SUM(Q25:Q33)</f>
        <v/>
      </c>
      <c r="R34">
        <f>SUM(R25:R33)</f>
        <v/>
      </c>
      <c r="S34">
        <f>SUM(S25:S33)</f>
        <v/>
      </c>
    </row>
    <row r="35">
      <c r="A35" s="2" t="inlineStr">
        <is>
          <t>bid: Frontier Make Ready</t>
        </is>
      </c>
      <c r="B35" t="n">
        <v>0</v>
      </c>
      <c r="C35" t="n">
        <v>0</v>
      </c>
      <c r="D35">
        <f>'Backlog &amp; Pipeline'!$C18*'Backlog &amp; Pipeline'!$D18/6</f>
        <v/>
      </c>
      <c r="E35">
        <f>'Backlog &amp; Pipeline'!$C18*'Backlog &amp; Pipeline'!$D18/6</f>
        <v/>
      </c>
      <c r="F35">
        <f>'Backlog &amp; Pipeline'!$C18*'Backlog &amp; Pipeline'!$D18/6</f>
        <v/>
      </c>
      <c r="G35">
        <f>'Backlog &amp; Pipeline'!$C18*'Backlog &amp; Pipeline'!$D18/6</f>
        <v/>
      </c>
      <c r="H35">
        <f>'Backlog &amp; Pipeline'!$C18*'Backlog &amp; Pipeline'!$D18/6</f>
        <v/>
      </c>
      <c r="I35">
        <f>'Backlog &amp; Pipeline'!$C18*'Backlog &amp; Pipeline'!$D18/6</f>
        <v/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</row>
    <row r="36">
      <c r="A36" s="2" t="inlineStr">
        <is>
          <t>bid: Jacksonburg–Gateway (EPC-paired $3</t>
        </is>
      </c>
      <c r="B36" t="n">
        <v>0</v>
      </c>
      <c r="C36" t="n">
        <v>0</v>
      </c>
      <c r="D36" t="n">
        <v>0</v>
      </c>
      <c r="E36" t="n">
        <v>0</v>
      </c>
      <c r="F36">
        <f>'Backlog &amp; Pipeline'!$C19*'Backlog &amp; Pipeline'!$D19/12</f>
        <v/>
      </c>
      <c r="G36">
        <f>'Backlog &amp; Pipeline'!$C19*'Backlog &amp; Pipeline'!$D19/12</f>
        <v/>
      </c>
      <c r="H36">
        <f>'Backlog &amp; Pipeline'!$C19*'Backlog &amp; Pipeline'!$D19/12</f>
        <v/>
      </c>
      <c r="I36">
        <f>'Backlog &amp; Pipeline'!$C19*'Backlog &amp; Pipeline'!$D19/12</f>
        <v/>
      </c>
      <c r="J36">
        <f>'Backlog &amp; Pipeline'!$C19*'Backlog &amp; Pipeline'!$D19/12</f>
        <v/>
      </c>
      <c r="K36">
        <f>'Backlog &amp; Pipeline'!$C19*'Backlog &amp; Pipeline'!$D19/12</f>
        <v/>
      </c>
      <c r="L36">
        <f>'Backlog &amp; Pipeline'!$C19*'Backlog &amp; Pipeline'!$D19/12</f>
        <v/>
      </c>
      <c r="M36">
        <f>'Backlog &amp; Pipeline'!$C19*'Backlog &amp; Pipeline'!$D19/12</f>
        <v/>
      </c>
      <c r="N36">
        <f>'Backlog &amp; Pipeline'!$C19*'Backlog &amp; Pipeline'!$D19/12</f>
        <v/>
      </c>
      <c r="O36">
        <f>'Backlog &amp; Pipeline'!$C19*'Backlog &amp; Pipeline'!$D19/12</f>
        <v/>
      </c>
      <c r="P36">
        <f>'Backlog &amp; Pipeline'!$C19*'Backlog &amp; Pipeline'!$D19/12</f>
        <v/>
      </c>
      <c r="Q36">
        <f>'Backlog &amp; Pipeline'!$C19*'Backlog &amp; Pipeline'!$D19/12</f>
        <v/>
      </c>
      <c r="R36" t="n">
        <v>0</v>
      </c>
      <c r="S36" t="n">
        <v>0</v>
      </c>
    </row>
    <row r="37">
      <c r="A37" s="2" t="inlineStr">
        <is>
          <t>bid: Rosehill–Rockport (EPC-paired $5.5</t>
        </is>
      </c>
      <c r="B37" t="n">
        <v>0</v>
      </c>
      <c r="C37" t="n">
        <v>0</v>
      </c>
      <c r="D37" t="n">
        <v>0</v>
      </c>
      <c r="E37" t="n">
        <v>0</v>
      </c>
      <c r="F37">
        <f>'Backlog &amp; Pipeline'!$C20*'Backlog &amp; Pipeline'!$D20/12</f>
        <v/>
      </c>
      <c r="G37">
        <f>'Backlog &amp; Pipeline'!$C20*'Backlog &amp; Pipeline'!$D20/12</f>
        <v/>
      </c>
      <c r="H37">
        <f>'Backlog &amp; Pipeline'!$C20*'Backlog &amp; Pipeline'!$D20/12</f>
        <v/>
      </c>
      <c r="I37">
        <f>'Backlog &amp; Pipeline'!$C20*'Backlog &amp; Pipeline'!$D20/12</f>
        <v/>
      </c>
      <c r="J37">
        <f>'Backlog &amp; Pipeline'!$C20*'Backlog &amp; Pipeline'!$D20/12</f>
        <v/>
      </c>
      <c r="K37">
        <f>'Backlog &amp; Pipeline'!$C20*'Backlog &amp; Pipeline'!$D20/12</f>
        <v/>
      </c>
      <c r="L37">
        <f>'Backlog &amp; Pipeline'!$C20*'Backlog &amp; Pipeline'!$D20/12</f>
        <v/>
      </c>
      <c r="M37">
        <f>'Backlog &amp; Pipeline'!$C20*'Backlog &amp; Pipeline'!$D20/12</f>
        <v/>
      </c>
      <c r="N37">
        <f>'Backlog &amp; Pipeline'!$C20*'Backlog &amp; Pipeline'!$D20/12</f>
        <v/>
      </c>
      <c r="O37">
        <f>'Backlog &amp; Pipeline'!$C20*'Backlog &amp; Pipeline'!$D20/12</f>
        <v/>
      </c>
      <c r="P37">
        <f>'Backlog &amp; Pipeline'!$C20*'Backlog &amp; Pipeline'!$D20/12</f>
        <v/>
      </c>
      <c r="Q37">
        <f>'Backlog &amp; Pipeline'!$C20*'Backlog &amp; Pipeline'!$D20/12</f>
        <v/>
      </c>
      <c r="R37" t="n">
        <v>0</v>
      </c>
      <c r="S37" t="n">
        <v>0</v>
      </c>
    </row>
    <row r="38">
      <c r="A38" s="2" t="inlineStr">
        <is>
          <t>bid: Joint Use Audit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>
        <f>'Backlog &amp; Pipeline'!$C21*'Backlog &amp; Pipeline'!$D21/18</f>
        <v/>
      </c>
      <c r="H38">
        <f>'Backlog &amp; Pipeline'!$C21*'Backlog &amp; Pipeline'!$D21/18</f>
        <v/>
      </c>
      <c r="I38">
        <f>'Backlog &amp; Pipeline'!$C21*'Backlog &amp; Pipeline'!$D21/18</f>
        <v/>
      </c>
      <c r="J38">
        <f>'Backlog &amp; Pipeline'!$C21*'Backlog &amp; Pipeline'!$D21/18</f>
        <v/>
      </c>
      <c r="K38">
        <f>'Backlog &amp; Pipeline'!$C21*'Backlog &amp; Pipeline'!$D21/18</f>
        <v/>
      </c>
      <c r="L38">
        <f>'Backlog &amp; Pipeline'!$C21*'Backlog &amp; Pipeline'!$D21/18</f>
        <v/>
      </c>
      <c r="M38">
        <f>'Backlog &amp; Pipeline'!$C21*'Backlog &amp; Pipeline'!$D21/18</f>
        <v/>
      </c>
      <c r="N38">
        <f>'Backlog &amp; Pipeline'!$C21*'Backlog &amp; Pipeline'!$D21/18</f>
        <v/>
      </c>
      <c r="O38">
        <f>'Backlog &amp; Pipeline'!$C21*'Backlog &amp; Pipeline'!$D21/18</f>
        <v/>
      </c>
      <c r="P38">
        <f>'Backlog &amp; Pipeline'!$C21*'Backlog &amp; Pipeline'!$D21/18</f>
        <v/>
      </c>
      <c r="Q38">
        <f>'Backlog &amp; Pipeline'!$C21*'Backlog &amp; Pipeline'!$D21/18</f>
        <v/>
      </c>
      <c r="R38">
        <f>'Backlog &amp; Pipeline'!$C21*'Backlog &amp; Pipeline'!$D21/18</f>
        <v/>
      </c>
      <c r="S38">
        <f>'Backlog &amp; Pipeline'!$C21*'Backlog &amp; Pipeline'!$D21/18</f>
        <v/>
      </c>
    </row>
    <row r="39">
      <c r="A39" s="2" t="inlineStr">
        <is>
          <t>bid: 2026 Pole Replacements (EPC-paired</t>
        </is>
      </c>
      <c r="B39" t="n">
        <v>0</v>
      </c>
      <c r="C39" t="n">
        <v>0</v>
      </c>
      <c r="D39" t="n">
        <v>0</v>
      </c>
      <c r="E39" t="n">
        <v>0</v>
      </c>
      <c r="F39">
        <f>'Backlog &amp; Pipeline'!$C22*'Backlog &amp; Pipeline'!$D22/12</f>
        <v/>
      </c>
      <c r="G39">
        <f>'Backlog &amp; Pipeline'!$C22*'Backlog &amp; Pipeline'!$D22/12</f>
        <v/>
      </c>
      <c r="H39">
        <f>'Backlog &amp; Pipeline'!$C22*'Backlog &amp; Pipeline'!$D22/12</f>
        <v/>
      </c>
      <c r="I39">
        <f>'Backlog &amp; Pipeline'!$C22*'Backlog &amp; Pipeline'!$D22/12</f>
        <v/>
      </c>
      <c r="J39">
        <f>'Backlog &amp; Pipeline'!$C22*'Backlog &amp; Pipeline'!$D22/12</f>
        <v/>
      </c>
      <c r="K39">
        <f>'Backlog &amp; Pipeline'!$C22*'Backlog &amp; Pipeline'!$D22/12</f>
        <v/>
      </c>
      <c r="L39">
        <f>'Backlog &amp; Pipeline'!$C22*'Backlog &amp; Pipeline'!$D22/12</f>
        <v/>
      </c>
      <c r="M39">
        <f>'Backlog &amp; Pipeline'!$C22*'Backlog &amp; Pipeline'!$D22/12</f>
        <v/>
      </c>
      <c r="N39">
        <f>'Backlog &amp; Pipeline'!$C22*'Backlog &amp; Pipeline'!$D22/12</f>
        <v/>
      </c>
      <c r="O39">
        <f>'Backlog &amp; Pipeline'!$C22*'Backlog &amp; Pipeline'!$D22/12</f>
        <v/>
      </c>
      <c r="P39">
        <f>'Backlog &amp; Pipeline'!$C22*'Backlog &amp; Pipeline'!$D22/12</f>
        <v/>
      </c>
      <c r="Q39">
        <f>'Backlog &amp; Pipeline'!$C22*'Backlog &amp; Pipeline'!$D22/12</f>
        <v/>
      </c>
      <c r="R39" t="n">
        <v>0</v>
      </c>
      <c r="S39" t="n">
        <v>0</v>
      </c>
    </row>
    <row r="40">
      <c r="A40" s="3" t="inlineStr">
        <is>
          <t>Weighted pipeline (× toggle)</t>
        </is>
      </c>
      <c r="B40">
        <f>SUM(B35:B39)*$B$3</f>
        <v/>
      </c>
      <c r="C40">
        <f>SUM(C35:C39)*$B$3</f>
        <v/>
      </c>
      <c r="D40">
        <f>SUM(D35:D39)*$B$3</f>
        <v/>
      </c>
      <c r="E40">
        <f>SUM(E35:E39)*$B$3</f>
        <v/>
      </c>
      <c r="F40">
        <f>SUM(F35:F39)*$B$3</f>
        <v/>
      </c>
      <c r="G40">
        <f>SUM(G35:G39)*$B$3</f>
        <v/>
      </c>
      <c r="H40">
        <f>SUM(H35:H39)*$B$3</f>
        <v/>
      </c>
      <c r="I40">
        <f>SUM(I35:I39)*$B$3</f>
        <v/>
      </c>
      <c r="J40">
        <f>SUM(J35:J39)*$B$3</f>
        <v/>
      </c>
      <c r="K40">
        <f>SUM(K35:K39)*$B$3</f>
        <v/>
      </c>
      <c r="L40">
        <f>SUM(L35:L39)*$B$3</f>
        <v/>
      </c>
      <c r="M40">
        <f>SUM(M35:M39)*$B$3</f>
        <v/>
      </c>
      <c r="N40">
        <f>SUM(N35:N39)*$B$3</f>
        <v/>
      </c>
      <c r="O40">
        <f>SUM(O35:O39)*$B$3</f>
        <v/>
      </c>
      <c r="P40">
        <f>SUM(P35:P39)*$B$3</f>
        <v/>
      </c>
      <c r="Q40">
        <f>SUM(Q35:Q39)*$B$3</f>
        <v/>
      </c>
      <c r="R40">
        <f>SUM(R35:R39)*$B$3</f>
        <v/>
      </c>
      <c r="S40">
        <f>SUM(S35:S39)*$B$3</f>
        <v/>
      </c>
    </row>
    <row r="41">
      <c r="A41" s="3" t="inlineStr">
        <is>
          <t>Forecast revenue</t>
        </is>
      </c>
      <c r="B41">
        <f>'Forecast P&amp;L'!B6</f>
        <v/>
      </c>
      <c r="C41">
        <f>'Forecast P&amp;L'!C6</f>
        <v/>
      </c>
      <c r="D41">
        <f>'Forecast P&amp;L'!D6</f>
        <v/>
      </c>
      <c r="E41">
        <f>'Forecast P&amp;L'!E6</f>
        <v/>
      </c>
      <c r="F41">
        <f>'Forecast P&amp;L'!F6</f>
        <v/>
      </c>
      <c r="G41">
        <f>'Forecast P&amp;L'!G6</f>
        <v/>
      </c>
      <c r="H41">
        <f>'Forecast P&amp;L'!H6</f>
        <v/>
      </c>
      <c r="I41">
        <f>'Forecast P&amp;L'!I6</f>
        <v/>
      </c>
      <c r="J41">
        <f>'Forecast P&amp;L'!J6</f>
        <v/>
      </c>
      <c r="K41">
        <f>'Forecast P&amp;L'!K6</f>
        <v/>
      </c>
      <c r="L41">
        <f>'Forecast P&amp;L'!L6</f>
        <v/>
      </c>
      <c r="M41">
        <f>'Forecast P&amp;L'!M6</f>
        <v/>
      </c>
      <c r="N41">
        <f>'Forecast P&amp;L'!N6</f>
        <v/>
      </c>
      <c r="O41">
        <f>'Forecast P&amp;L'!O6</f>
        <v/>
      </c>
      <c r="P41">
        <f>'Forecast P&amp;L'!P6</f>
        <v/>
      </c>
      <c r="Q41">
        <f>'Forecast P&amp;L'!Q6</f>
        <v/>
      </c>
      <c r="R41">
        <f>'Forecast P&amp;L'!R6</f>
        <v/>
      </c>
      <c r="S41">
        <f>'Forecast P&amp;L'!S6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2026-07-17T20:23:16Z</dcterms:created>
  <dcterms:modified xsi:type="dcterms:W3CDTF">2026-07-17T20:23:16Z</dcterms:modified>
</cp:coreProperties>
</file>