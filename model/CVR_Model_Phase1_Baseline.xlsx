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Roster &amp; Hours" sheetId="4" state="visible" r:id="rId4"/>
    <sheet xmlns:r="http://schemas.openxmlformats.org/officeDocument/2006/relationships" name="Labor Cost" sheetId="5" state="visible" r:id="rId5"/>
    <sheet xmlns:r="http://schemas.openxmlformats.org/officeDocument/2006/relationships" name="Baseline P&amp;L" sheetId="6" state="visible" r:id="rId6"/>
    <sheet xmlns:r="http://schemas.openxmlformats.org/officeDocument/2006/relationships" name="GL Income Stmt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 &amp; Customers" sheetId="9" state="visible" r:id="rId9"/>
    <sheet xmlns:r="http://schemas.openxmlformats.org/officeDocument/2006/relationships" name="HWC EPC Baseline" sheetId="10" state="visible" r:id="rId10"/>
    <sheet xmlns:r="http://schemas.openxmlformats.org/officeDocument/2006/relationships" name="Realization" sheetId="11" state="visible" r:id="rId11"/>
    <sheet xmlns:r="http://schemas.openxmlformats.org/officeDocument/2006/relationships" name="Checks &amp; Open Items" sheetId="12" state="visible" r:id="rId12"/>
    <sheet xmlns:r="http://schemas.openxmlformats.org/officeDocument/2006/relationships" name="Cha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#,##0;(#,##0)"/>
    <numFmt numFmtId="167" formatCode="&quot;$&quot;#,##0.00"/>
    <numFmt numFmtId="168" formatCode="#,##0.0"/>
    <numFmt numFmtId="169" formatCode="&quot;$&quot;#,##0"/>
    <numFmt numFmtId="170" formatCode="0.00&quot;x&quot;"/>
    <numFmt numFmtId="171" formatCode="#,##0.0;(#,##0.0)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1F3864"/>
    </font>
    <font>
      <b val="1"/>
      <color rgb="00FFFFFF"/>
    </font>
    <font>
      <color rgb="000070C0"/>
    </font>
    <font>
      <i val="1"/>
      <color rgb="00C55A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3" fontId="5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6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167" fontId="3" fillId="3" borderId="1" pivotButton="0" quotePrefix="0" xfId="0"/>
    <xf numFmtId="168" fontId="3" fillId="3" borderId="1" pivotButton="0" quotePrefix="0" xfId="0"/>
    <xf numFmtId="169" fontId="3" fillId="3" borderId="1" pivotButton="0" quotePrefix="0" xfId="0"/>
    <xf numFmtId="170" fontId="0" fillId="0" borderId="1" pivotButton="0" quotePrefix="0" xfId="0"/>
    <xf numFmtId="167" fontId="6" fillId="0" borderId="1" pivotButton="0" quotePrefix="0" xfId="0"/>
    <xf numFmtId="171" fontId="0" fillId="0" borderId="1" pivotButton="0" quotePrefix="0" xfId="0"/>
    <xf numFmtId="171" fontId="0" fillId="3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166" fontId="3" fillId="3" borderId="1" pivotButton="0" quotePrefix="0" xfId="0"/>
    <xf numFmtId="166" fontId="3" fillId="0" borderId="1" pivotButton="0" quotePrefix="0" xfId="0"/>
    <xf numFmtId="164" fontId="3" fillId="0" borderId="1" pivotButton="0" quotePrefix="0" xfId="0"/>
    <xf numFmtId="165" fontId="0" fillId="0" borderId="1" pivotButton="0" quotePrefix="0" xfId="0"/>
    <xf numFmtId="171" fontId="5" fillId="0" borderId="1" pivotButton="0" quotePrefix="0" xfId="0"/>
    <xf numFmtId="171" fontId="0" fillId="0" borderId="0" pivotButton="0" quotePrefix="0" xfId="0"/>
    <xf numFmtId="164" fontId="4" fillId="2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revenue — Actual vs Plan vs Prior Year ($K)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'Charts'!A42</f>
            </strRef>
          </tx>
          <spPr>
            <a:ln xmlns:a="http://schemas.openxmlformats.org/drawingml/2006/main" w="28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'Charts'!$B$41:$G$41</f>
            </numRef>
          </cat>
          <val>
            <numRef>
              <f>'Charts'!$B$42:$G$42</f>
            </numRef>
          </val>
          <smooth val="0"/>
        </ser>
        <ser>
          <idx val="1"/>
          <order val="1"/>
          <tx>
            <strRef>
              <f>'Charts'!A43</f>
            </strRef>
          </tx>
          <spPr>
            <a:ln xmlns:a="http://schemas.openxmlformats.org/drawingml/2006/main" w="20000">
              <a:solidFill>
                <a:srgbClr val="8987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'Charts'!$B$41:$G$41</f>
            </numRef>
          </cat>
          <val>
            <numRef>
              <f>'Charts'!$B$43:$G$43</f>
            </numRef>
          </val>
          <smooth val="0"/>
        </ser>
        <ser>
          <idx val="2"/>
          <order val="2"/>
          <tx>
            <strRef>
              <f>'Charts'!A44</f>
            </strRef>
          </tx>
          <spPr>
            <a:ln xmlns:a="http://schemas.openxmlformats.org/drawingml/2006/main" w="20000">
              <a:solidFill>
                <a:srgbClr val="89878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'Charts'!$B$41:$G$41</f>
            </numRef>
          </cat>
          <val>
            <numRef>
              <f>'Charts'!$B$44:$G$44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$K cumulative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by month vs 61.6% budget assumption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'Charts'!A47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'Charts'!$B$41:$G$41</f>
            </numRef>
          </cat>
          <val>
            <numRef>
              <f>'Charts'!$B$47:$G$47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'Charts'!A48</f>
            </strRef>
          </tx>
          <spPr>
            <a:ln xmlns:a="http://schemas.openxmlformats.org/drawingml/2006/main" w="20000">
              <a:solidFill>
                <a:srgbClr val="89878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'Charts'!$B$41:$G$41</f>
            </numRef>
          </cat>
          <val>
            <numRef>
              <f>'Charts'!$B$48:$G$48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"/>
          <min val="-0.6"/>
        </scaling>
        <axPos val="l"/>
        <majorGridlines/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0.8"/>
          <min val="-0.6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Billable utilization vs target, by person (YTD)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'Roster &amp; Hours'!F4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'Roster &amp; Hours'!$A$5:$A$14</f>
            </numRef>
          </cat>
          <val>
            <numRef>
              <f>'Roster &amp; Hours'!$F$5:$F$14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'Roster &amp; Hours'!J4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ash"/>
            <size val="12"/>
            <spPr>
              <a:ln xmlns:a="http://schemas.openxmlformats.org/drawingml/2006/main">
                <a:prstDash val="solid"/>
              </a:ln>
            </spPr>
          </marker>
          <cat>
            <numRef>
              <f>'Roster &amp; Hours'!$A$5:$A$14</f>
            </numRef>
          </cat>
          <val>
            <numRef>
              <f>'Roster &amp; Hours'!$J$5:$J$14</f>
            </numRef>
          </val>
        </ser>
        <axId val="10"/>
        <axId val="21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numFmt formatCode="0%" sourceLinked="0"/>
        <majorTickMark val="none"/>
        <minorTickMark val="none"/>
        <crossAx val="10"/>
      </valAx>
      <valAx>
        <axId val="210"/>
        <scaling>
          <orientation val="minMax"/>
          <max val="1.05"/>
          <min val="0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customer — YTD June 2026 ($)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'Cash Flow &amp; Customers'!$A$17:$A$23</f>
            </numRef>
          </cat>
          <val>
            <numRef>
              <f>'Cash Flow &amp; Customers'!$B$17:$B$23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56</row>
      <rowOff>0</rowOff>
    </from>
    <ext cx="61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CVR Engineering — Phase 1 Baseline Model</t>
        </is>
      </c>
    </row>
    <row r="2">
      <c r="A2" s="2" t="inlineStr">
        <is>
          <t>v2: GL financial statements through 6/30/2026 incorporated. Generated by scripts/build_phase1_workbook.py.</t>
        </is>
      </c>
    </row>
    <row r="3">
      <c r="A3" t="inlineStr"/>
    </row>
    <row r="4">
      <c r="A4" s="3" t="inlineStr">
        <is>
          <t>PURPOSE</t>
        </is>
      </c>
    </row>
    <row r="5">
      <c r="A5" t="inlineStr">
        <is>
          <t>Phase 1 of the financial model build: a quantified current-state baseline reconciled to the</t>
        </is>
      </c>
    </row>
    <row r="6">
      <c r="A6" t="inlineStr">
        <is>
          <t>KPI report (7/11/2026), the 2026 rate sheet, and the GL financial statements through 6/30/2026.</t>
        </is>
      </c>
    </row>
    <row r="7">
      <c r="A7" t="inlineStr"/>
    </row>
    <row r="8">
      <c r="A8" s="3" t="inlineStr">
        <is>
          <t>TABS</t>
        </is>
      </c>
    </row>
    <row r="9">
      <c r="A9" t="inlineStr">
        <is>
          <t xml:space="preserve">  Assumptions          — global inputs (blue). Overhead, interest, and burden now sourced from GL.</t>
        </is>
      </c>
    </row>
    <row r="10">
      <c r="A10" t="inlineStr">
        <is>
          <t xml:space="preserve">  Rates                — 2026 rate sheet, effective January 2026.</t>
        </is>
      </c>
    </row>
    <row r="11">
      <c r="A11" t="inlineStr">
        <is>
          <t xml:space="preserve">  Roster &amp; Hours       — people, classifications, YTD hours and utilization vs target, value at card rates.</t>
        </is>
      </c>
    </row>
    <row r="12">
      <c r="A12" t="inlineStr">
        <is>
          <t xml:space="preserve">  Labor Cost           — per-person standard cost rates (COINS timesheet report), loaded cost, and margin by role.</t>
        </is>
      </c>
    </row>
    <row r="13">
      <c r="A13" t="inlineStr">
        <is>
          <t xml:space="preserve">  Baseline P&amp;L         — CVR monthly actuals vs budget, Jan–Jun 2026 (Jan–May per KPI report, June per GL).</t>
        </is>
      </c>
    </row>
    <row r="14">
      <c r="A14" t="inlineStr">
        <is>
          <t xml:space="preserve">  GL Income Stmt       — full line-item income statement, June and YTD, actual vs budget vs prior year.</t>
        </is>
      </c>
    </row>
    <row r="15">
      <c r="A15" t="inlineStr">
        <is>
          <t xml:space="preserve">  Balance Sheet        — 6/30/2026 vs one year ago vs annual budget.</t>
        </is>
      </c>
    </row>
    <row r="16">
      <c r="A16" t="inlineStr">
        <is>
          <t xml:space="preserve">  Cash Flow &amp; Customers— six-month cash flow summary and sales by customer (incl. intercompany).</t>
        </is>
      </c>
    </row>
    <row r="17">
      <c r="A17" t="inlineStr">
        <is>
          <t xml:space="preserve">  HWC EPC Baseline     — EPC line financials for context.</t>
        </is>
      </c>
    </row>
    <row r="18">
      <c r="A18" t="inlineStr">
        <is>
          <t xml:space="preserve">  Realization          — the $/hr and labor-multiplier gap analysis plus the utilization × realization grid.</t>
        </is>
      </c>
    </row>
    <row r="19">
      <c r="A19" t="inlineStr">
        <is>
          <t xml:space="preserve">  Checks &amp; Open Items  — tie-outs across all three sources and remaining open questions.</t>
        </is>
      </c>
    </row>
    <row r="20">
      <c r="A20" t="inlineStr">
        <is>
          <t xml:space="preserve">  Charts               — native charts wired to the data tabs (revenue vs plan/PY, gross margin,</t>
        </is>
      </c>
    </row>
    <row r="21">
      <c r="A21" t="inlineStr">
        <is>
          <t xml:space="preserve">                         utilization vs target, sales by customer). Edit data; charts redraw.</t>
        </is>
      </c>
    </row>
    <row r="22">
      <c r="A22" t="inlineStr"/>
    </row>
    <row r="23">
      <c r="A23" s="3" t="inlineStr">
        <is>
          <t>COLOR KEY</t>
        </is>
      </c>
    </row>
    <row r="24">
      <c r="A24" t="inlineStr">
        <is>
          <t xml:space="preserve">  Blue  = input / assumption you can change</t>
        </is>
      </c>
    </row>
    <row r="25">
      <c r="A25" t="inlineStr">
        <is>
          <t xml:space="preserve">  Black = calculated or sourced from a document</t>
        </is>
      </c>
    </row>
    <row r="26">
      <c r="A26" t="inlineStr">
        <is>
          <t xml:space="preserve">  Orange italics = assumption that needs confirmation</t>
        </is>
      </c>
    </row>
    <row r="27">
      <c r="A27" t="inlineStr"/>
    </row>
    <row r="28">
      <c r="A28" s="3" t="inlineStr">
        <is>
          <t>SOURCES</t>
        </is>
      </c>
    </row>
    <row r="29">
      <c r="A29" t="inlineStr">
        <is>
          <t xml:space="preserve">  data/CVR_Rate_Sheet_2026.pdf</t>
        </is>
      </c>
    </row>
    <row r="30">
      <c r="A30" t="inlineStr">
        <is>
          <t xml:space="preserve">  data/CVR_EPC_KPI_2026-07-11.pdf</t>
        </is>
      </c>
    </row>
    <row r="31">
      <c r="A31" t="inlineStr">
        <is>
          <t xml:space="preserve">  data/CVR_Financial_Statements_2026-06-30.pdf</t>
        </is>
      </c>
    </row>
    <row r="32">
      <c r="A32" t="inlineStr">
        <is>
          <t xml:space="preserve">  data/CVR_Timesheet_Costs_Jul2026_JC016755.pdf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" t="inlineStr">
        <is>
          <t>Global Assumptions</t>
        </is>
      </c>
    </row>
    <row r="2">
      <c r="A2" s="2" t="inlineStr">
        <is>
          <t>Blue cells are inputs. GL-sourced values are black.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Notes</t>
        </is>
      </c>
    </row>
    <row r="5">
      <c r="A5" s="5" t="inlineStr">
        <is>
          <t>Standard hours per FTE-year</t>
        </is>
      </c>
      <c r="B5" s="6" t="n">
        <v>2080</v>
      </c>
      <c r="C5" s="7" t="inlineStr">
        <is>
          <t>40 hrs x 52 wks; adjust for PTO/holiday policy if preferred</t>
        </is>
      </c>
    </row>
    <row r="6">
      <c r="A6" s="5" t="inlineStr">
        <is>
          <t>Median target billable utilization</t>
        </is>
      </c>
      <c r="B6" s="8" t="n">
        <v>0.75</v>
      </c>
      <c r="C6" s="7" t="inlineStr">
        <is>
          <t>KPI report gauge target (median of per-person targets)</t>
        </is>
      </c>
    </row>
    <row r="7">
      <c r="A7" s="5" t="inlineStr">
        <is>
          <t>Active billable headcount (current)</t>
        </is>
      </c>
      <c r="B7" s="6" t="n">
        <v>10</v>
      </c>
      <c r="C7" s="7" t="inlineStr">
        <is>
          <t>People with recorded hours in the KPI report</t>
        </is>
      </c>
    </row>
    <row r="8">
      <c r="A8" s="5" t="inlineStr">
        <is>
          <t>Hours-to-June-30 adjustment factor</t>
        </is>
      </c>
      <c r="B8" s="9" t="n">
        <v>0.949</v>
      </c>
      <c r="C8" s="7" t="inlineStr">
        <is>
          <t>KPI hours run through 7/11 (~27.4 wks); scales to Jan–Jun (26 wks) to match the GL period</t>
        </is>
      </c>
    </row>
    <row r="9">
      <c r="A9" s="5" t="inlineStr">
        <is>
          <t>Employment burden load (computed from GL)</t>
        </is>
      </c>
      <c r="B9" s="10" t="n">
        <v>0.338</v>
      </c>
      <c r="C9" s="7" t="inlineStr">
        <is>
          <t>YTD burden (FICA, UI, WC, health, pension, benefits, vac/hol = $157.4K) ÷ total wages ($465.4K); refine with salary detail</t>
        </is>
      </c>
    </row>
    <row r="10">
      <c r="A10" s="5" t="inlineStr">
        <is>
          <t>Corporate overhead allocation ($/month)</t>
        </is>
      </c>
      <c r="B10" s="11" t="n">
        <v>17250</v>
      </c>
      <c r="C10" s="7" t="inlineStr">
        <is>
          <t>GL actual — flat monthly, matches budget ($103,500 YTD)</t>
        </is>
      </c>
    </row>
    <row r="11">
      <c r="A11" s="5" t="inlineStr">
        <is>
          <t>Interest expense ($/month avg)</t>
        </is>
      </c>
      <c r="B11" s="11" t="n">
        <v>5015</v>
      </c>
      <c r="C11" s="7" t="inlineStr">
        <is>
          <t>GL: $30,087 YTD ÷ 6, on Note Payable-Parent of $3.44M (not in budget)</t>
        </is>
      </c>
    </row>
    <row r="12">
      <c r="A12" s="5" t="inlineStr">
        <is>
          <t>Year-2 divisional sales goal ($K)</t>
        </is>
      </c>
      <c r="B12" s="6" t="n">
        <v>6000</v>
      </c>
      <c r="C12" s="7" t="inlineStr">
        <is>
          <t>Divisional business target</t>
        </is>
      </c>
    </row>
    <row r="13">
      <c r="A13" s="5" t="inlineStr">
        <is>
          <t>Year-2 OILI return target</t>
        </is>
      </c>
      <c r="B13" s="8" t="n">
        <v>0.2</v>
      </c>
      <c r="C13" s="7" t="inlineStr">
        <is>
          <t>OILI /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CVR Engineering — Hourly Rates and Charges</t>
        </is>
      </c>
    </row>
    <row r="2">
      <c r="A2" s="2" t="inlineStr">
        <is>
          <t>Effective January 2026. Source: data/CVR_Rate_Sheet_2026.pdf</t>
        </is>
      </c>
    </row>
    <row r="4">
      <c r="A4" s="4" t="inlineStr">
        <is>
          <t>Classification</t>
        </is>
      </c>
      <c r="B4" s="4" t="inlineStr">
        <is>
          <t>Rate / hr</t>
        </is>
      </c>
    </row>
    <row r="5">
      <c r="A5" s="5" t="inlineStr">
        <is>
          <t>Administrative Assistant</t>
        </is>
      </c>
      <c r="B5" s="12" t="n">
        <v>59.62</v>
      </c>
    </row>
    <row r="6">
      <c r="A6" s="5" t="inlineStr">
        <is>
          <t>Graphics Technician</t>
        </is>
      </c>
      <c r="B6" s="12" t="n">
        <v>76.14</v>
      </c>
    </row>
    <row r="7">
      <c r="A7" s="5" t="inlineStr">
        <is>
          <t>Project Manager</t>
        </is>
      </c>
      <c r="B7" s="12" t="n">
        <v>159.86</v>
      </c>
    </row>
    <row r="8">
      <c r="A8" s="5" t="inlineStr">
        <is>
          <t>Designer I</t>
        </is>
      </c>
      <c r="B8" s="12" t="n">
        <v>79.91</v>
      </c>
    </row>
    <row r="9">
      <c r="A9" s="5" t="inlineStr">
        <is>
          <t>Designer II</t>
        </is>
      </c>
      <c r="B9" s="12" t="n">
        <v>95.7</v>
      </c>
    </row>
    <row r="10">
      <c r="A10" s="5" t="inlineStr">
        <is>
          <t>Senior Designer</t>
        </is>
      </c>
      <c r="B10" s="12" t="n">
        <v>105.01</v>
      </c>
    </row>
    <row r="11">
      <c r="A11" s="5" t="inlineStr">
        <is>
          <t>Engineer I</t>
        </is>
      </c>
      <c r="B11" s="12" t="n">
        <v>112.27</v>
      </c>
    </row>
    <row r="12">
      <c r="A12" s="5" t="inlineStr">
        <is>
          <t>Engineer II</t>
        </is>
      </c>
      <c r="B12" s="12" t="n">
        <v>138.09</v>
      </c>
    </row>
    <row r="13">
      <c r="A13" s="5" t="inlineStr">
        <is>
          <t>Engineer III</t>
        </is>
      </c>
      <c r="B13" s="12" t="n">
        <v>152.21</v>
      </c>
    </row>
    <row r="14">
      <c r="A14" s="5" t="inlineStr">
        <is>
          <t>Engineer IV</t>
        </is>
      </c>
      <c r="B14" s="12" t="n">
        <v>172.37</v>
      </c>
    </row>
    <row r="15">
      <c r="A15" s="5" t="inlineStr">
        <is>
          <t>Senior Engineer</t>
        </is>
      </c>
      <c r="B15" s="12" t="n">
        <v>241.57</v>
      </c>
    </row>
    <row r="16">
      <c r="A16" s="5" t="inlineStr">
        <is>
          <t>Principal Engineer</t>
        </is>
      </c>
      <c r="B16" s="12" t="n">
        <v>360.72</v>
      </c>
    </row>
    <row r="18">
      <c r="A18" s="2" t="inlineStr">
        <is>
          <t>• Travel time in the interest of the work billed at full rates.</t>
        </is>
      </c>
    </row>
    <row r="19">
      <c r="A19" s="2" t="inlineStr">
        <is>
          <t>• No overtime multipliers — excess hours billed at standard rates.</t>
        </is>
      </c>
    </row>
    <row r="20">
      <c r="A20" s="2" t="inlineStr">
        <is>
          <t>• Mileage at IRS rate; ground/air travel and living expenses at cost.</t>
        </is>
      </c>
    </row>
    <row r="21">
      <c r="A21" s="2" t="inlineStr">
        <is>
          <t>• Purchases, out-of-scope subcontract work and other expenses at cost + 10%.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1" customWidth="1" min="4" max="4"/>
    <col width="12" customWidth="1" min="5" max="5"/>
    <col width="11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Roster, YTD Hours and Utilization (2026 through week ending 7/11)</t>
        </is>
      </c>
    </row>
    <row r="2">
      <c r="A2" s="2" t="inlineStr">
        <is>
          <t>Hours and splits from the KPI report utilization page. Orange classifications are assumptions pending confirmation.</t>
        </is>
      </c>
    </row>
    <row r="4">
      <c r="A4" s="4" t="inlineStr">
        <is>
          <t>Name</t>
        </is>
      </c>
      <c r="B4" s="4" t="inlineStr">
        <is>
          <t>Billing classification</t>
        </is>
      </c>
      <c r="C4" s="4" t="inlineStr">
        <is>
          <t>Class source</t>
        </is>
      </c>
      <c r="D4" s="4" t="inlineStr">
        <is>
          <t>Rate / hr</t>
        </is>
      </c>
      <c r="E4" s="4" t="inlineStr">
        <is>
          <t>Total hrs YTD</t>
        </is>
      </c>
      <c r="F4" s="4" t="inlineStr">
        <is>
          <t>Billable %</t>
        </is>
      </c>
      <c r="G4" s="4" t="inlineStr">
        <is>
          <t>Non-billable %</t>
        </is>
      </c>
      <c r="H4" s="4" t="inlineStr">
        <is>
          <t>Bids %</t>
        </is>
      </c>
      <c r="I4" s="4" t="inlineStr">
        <is>
          <t>Billable hrs</t>
        </is>
      </c>
      <c r="J4" s="4" t="inlineStr">
        <is>
          <t>Target util %</t>
        </is>
      </c>
      <c r="K4" s="4" t="inlineStr">
        <is>
          <t>Util vs target</t>
        </is>
      </c>
      <c r="L4" s="4" t="inlineStr">
        <is>
          <t>Billable value @ card</t>
        </is>
      </c>
    </row>
    <row r="5">
      <c r="A5" s="5" t="inlineStr">
        <is>
          <t>Craig Peterson</t>
        </is>
      </c>
      <c r="B5" s="5" t="inlineStr">
        <is>
          <t>Engineer I</t>
        </is>
      </c>
      <c r="C5" s="7" t="inlineStr">
        <is>
          <t>org chart</t>
        </is>
      </c>
      <c r="D5" s="12">
        <f>Rates!B11</f>
        <v/>
      </c>
      <c r="E5" s="13" t="n">
        <v>1017</v>
      </c>
      <c r="F5" s="10" t="n">
        <v>0.796</v>
      </c>
      <c r="G5" s="10" t="n">
        <v>0.204</v>
      </c>
      <c r="H5" s="10" t="n">
        <v>0</v>
      </c>
      <c r="I5" s="13">
        <f>E5*F5</f>
        <v/>
      </c>
      <c r="J5" s="10" t="n">
        <v>0.754</v>
      </c>
      <c r="K5" s="10">
        <f>F5-J5</f>
        <v/>
      </c>
      <c r="L5" s="14">
        <f>I5*D5</f>
        <v/>
      </c>
    </row>
    <row r="6">
      <c r="A6" s="5" t="inlineStr">
        <is>
          <t>Bhkti Patel</t>
        </is>
      </c>
      <c r="B6" s="5" t="inlineStr">
        <is>
          <t>Engineer III</t>
        </is>
      </c>
      <c r="C6" s="7" t="inlineStr">
        <is>
          <t>org chart</t>
        </is>
      </c>
      <c r="D6" s="12">
        <f>Rates!B13</f>
        <v/>
      </c>
      <c r="E6" s="13" t="n">
        <v>1045</v>
      </c>
      <c r="F6" s="10" t="n">
        <v>0.744</v>
      </c>
      <c r="G6" s="10" t="n">
        <v>0.202</v>
      </c>
      <c r="H6" s="10" t="n">
        <v>0.055</v>
      </c>
      <c r="I6" s="13">
        <f>E6*F6</f>
        <v/>
      </c>
      <c r="J6" s="10" t="n">
        <v>0.707</v>
      </c>
      <c r="K6" s="10">
        <f>F6-J6</f>
        <v/>
      </c>
      <c r="L6" s="14">
        <f>I6*D6</f>
        <v/>
      </c>
    </row>
    <row r="7">
      <c r="A7" s="5" t="inlineStr">
        <is>
          <t>Taylor Nelson</t>
        </is>
      </c>
      <c r="B7" s="15" t="inlineStr">
        <is>
          <t>Engineer II</t>
        </is>
      </c>
      <c r="C7" s="15" t="inlineStr">
        <is>
          <t>ASSUMED — confirm</t>
        </is>
      </c>
      <c r="D7" s="12">
        <f>Rates!B12</f>
        <v/>
      </c>
      <c r="E7" s="13" t="n">
        <v>1045</v>
      </c>
      <c r="F7" s="10" t="n">
        <v>0.61</v>
      </c>
      <c r="G7" s="10" t="n">
        <v>0.337</v>
      </c>
      <c r="H7" s="10" t="n">
        <v>0.054</v>
      </c>
      <c r="I7" s="13">
        <f>E7*F7</f>
        <v/>
      </c>
      <c r="J7" s="10" t="n">
        <v>0.801</v>
      </c>
      <c r="K7" s="10">
        <f>F7-J7</f>
        <v/>
      </c>
      <c r="L7" s="14">
        <f>I7*D7</f>
        <v/>
      </c>
    </row>
    <row r="8">
      <c r="A8" s="5" t="inlineStr">
        <is>
          <t>Hayley Worthen</t>
        </is>
      </c>
      <c r="B8" s="5" t="inlineStr">
        <is>
          <t>Senior Engineer</t>
        </is>
      </c>
      <c r="C8" s="7" t="inlineStr">
        <is>
          <t>org chart</t>
        </is>
      </c>
      <c r="D8" s="12">
        <f>Rates!B15</f>
        <v/>
      </c>
      <c r="E8" s="13" t="n">
        <v>952</v>
      </c>
      <c r="F8" s="10" t="n">
        <v>0.669</v>
      </c>
      <c r="G8" s="10" t="n">
        <v>0.162</v>
      </c>
      <c r="H8" s="10" t="n">
        <v>0.169</v>
      </c>
      <c r="I8" s="13">
        <f>E8*F8</f>
        <v/>
      </c>
      <c r="J8" s="10" t="n">
        <v>0.613</v>
      </c>
      <c r="K8" s="10">
        <f>F8-J8</f>
        <v/>
      </c>
      <c r="L8" s="14">
        <f>I8*D8</f>
        <v/>
      </c>
    </row>
    <row r="9">
      <c r="A9" s="5" t="inlineStr">
        <is>
          <t>Francis Wagner</t>
        </is>
      </c>
      <c r="B9" s="5" t="inlineStr">
        <is>
          <t>Engineer III</t>
        </is>
      </c>
      <c r="C9" s="7" t="inlineStr">
        <is>
          <t>org chart</t>
        </is>
      </c>
      <c r="D9" s="12">
        <f>Rates!B13</f>
        <v/>
      </c>
      <c r="E9" s="13" t="n">
        <v>992</v>
      </c>
      <c r="F9" s="10" t="n">
        <v>0.625</v>
      </c>
      <c r="G9" s="10" t="n">
        <v>0.343</v>
      </c>
      <c r="H9" s="10" t="n">
        <v>0.032</v>
      </c>
      <c r="I9" s="13">
        <f>E9*F9</f>
        <v/>
      </c>
      <c r="J9" s="10" t="n">
        <v>0.707</v>
      </c>
      <c r="K9" s="10">
        <f>F9-J9</f>
        <v/>
      </c>
      <c r="L9" s="14">
        <f>I9*D9</f>
        <v/>
      </c>
    </row>
    <row r="10">
      <c r="A10" s="5" t="inlineStr">
        <is>
          <t>Collin Allen</t>
        </is>
      </c>
      <c r="B10" s="5" t="inlineStr">
        <is>
          <t>Graphics Technician</t>
        </is>
      </c>
      <c r="C10" s="7" t="inlineStr">
        <is>
          <t>org chart</t>
        </is>
      </c>
      <c r="D10" s="12">
        <f>Rates!B6</f>
        <v/>
      </c>
      <c r="E10" s="13" t="n">
        <v>985.25</v>
      </c>
      <c r="F10" s="10" t="n">
        <v>0.576</v>
      </c>
      <c r="G10" s="10" t="n">
        <v>0.424</v>
      </c>
      <c r="H10" s="10" t="n">
        <v>0</v>
      </c>
      <c r="I10" s="13">
        <f>E10*F10</f>
        <v/>
      </c>
      <c r="J10" s="10" t="n">
        <v>0.801</v>
      </c>
      <c r="K10" s="10">
        <f>F10-J10</f>
        <v/>
      </c>
      <c r="L10" s="14">
        <f>I10*D10</f>
        <v/>
      </c>
    </row>
    <row r="11">
      <c r="A11" s="5" t="inlineStr">
        <is>
          <t>Kevin Metts</t>
        </is>
      </c>
      <c r="B11" s="15" t="inlineStr">
        <is>
          <t>Designer II</t>
        </is>
      </c>
      <c r="C11" s="15" t="inlineStr">
        <is>
          <t>ASSUMED — confirm</t>
        </is>
      </c>
      <c r="D11" s="12">
        <f>Rates!B9</f>
        <v/>
      </c>
      <c r="E11" s="13" t="n">
        <v>890</v>
      </c>
      <c r="F11" s="10" t="n">
        <v>0.384</v>
      </c>
      <c r="G11" s="10" t="n">
        <v>0.598</v>
      </c>
      <c r="H11" s="10" t="n">
        <v>0.018</v>
      </c>
      <c r="I11" s="13">
        <f>E11*F11</f>
        <v/>
      </c>
      <c r="J11" s="10" t="n">
        <v>0.754</v>
      </c>
      <c r="K11" s="10">
        <f>F11-J11</f>
        <v/>
      </c>
      <c r="L11" s="14">
        <f>I11*D11</f>
        <v/>
      </c>
    </row>
    <row r="12">
      <c r="A12" s="5" t="inlineStr">
        <is>
          <t>Roy Pierce</t>
        </is>
      </c>
      <c r="B12" s="15" t="inlineStr">
        <is>
          <t>Principal Engineer</t>
        </is>
      </c>
      <c r="C12" s="15" t="inlineStr">
        <is>
          <t>ASSUMED billing class</t>
        </is>
      </c>
      <c r="D12" s="12">
        <f>Rates!B16</f>
        <v/>
      </c>
      <c r="E12" s="13" t="n">
        <v>847</v>
      </c>
      <c r="F12" s="10" t="n">
        <v>0.327</v>
      </c>
      <c r="G12" s="10" t="n">
        <v>0.591</v>
      </c>
      <c r="H12" s="10" t="n">
        <v>0.082</v>
      </c>
      <c r="I12" s="13">
        <f>E12*F12</f>
        <v/>
      </c>
      <c r="J12" s="10" t="n">
        <v>0.424</v>
      </c>
      <c r="K12" s="10">
        <f>F12-J12</f>
        <v/>
      </c>
      <c r="L12" s="14">
        <f>I12*D12</f>
        <v/>
      </c>
    </row>
    <row r="13">
      <c r="A13" s="5" t="inlineStr">
        <is>
          <t>Randy Pynenberg</t>
        </is>
      </c>
      <c r="B13" s="5" t="inlineStr">
        <is>
          <t>Engineer IV</t>
        </is>
      </c>
      <c r="C13" s="7" t="inlineStr">
        <is>
          <t>org chart</t>
        </is>
      </c>
      <c r="D13" s="12">
        <f>Rates!B14</f>
        <v/>
      </c>
      <c r="E13" s="13" t="n">
        <v>68</v>
      </c>
      <c r="F13" s="10" t="n">
        <v>0.897</v>
      </c>
      <c r="G13" s="10" t="n">
        <v>0</v>
      </c>
      <c r="H13" s="10" t="n">
        <v>0.103</v>
      </c>
      <c r="I13" s="13">
        <f>E13*F13</f>
        <v/>
      </c>
      <c r="J13" s="10" t="n">
        <v>0.95</v>
      </c>
      <c r="K13" s="10">
        <f>F13-J13</f>
        <v/>
      </c>
      <c r="L13" s="14">
        <f>I13*D13</f>
        <v/>
      </c>
    </row>
    <row r="14">
      <c r="A14" s="5" t="inlineStr">
        <is>
          <t>Auston Hopson</t>
        </is>
      </c>
      <c r="B14" s="5" t="inlineStr">
        <is>
          <t>Graphics Technician</t>
        </is>
      </c>
      <c r="C14" s="7" t="inlineStr">
        <is>
          <t>org chart</t>
        </is>
      </c>
      <c r="D14" s="12">
        <f>Rates!B6</f>
        <v/>
      </c>
      <c r="E14" s="13" t="n">
        <v>18</v>
      </c>
      <c r="F14" s="10" t="n">
        <v>1</v>
      </c>
      <c r="G14" s="10" t="n">
        <v>0</v>
      </c>
      <c r="H14" s="10" t="n">
        <v>0</v>
      </c>
      <c r="I14" s="13">
        <f>E14*F14</f>
        <v/>
      </c>
      <c r="J14" s="10" t="n">
        <v>1</v>
      </c>
      <c r="K14" s="10">
        <f>F14-J14</f>
        <v/>
      </c>
      <c r="L14" s="14">
        <f>I14*D14</f>
        <v/>
      </c>
    </row>
    <row r="15">
      <c r="A15" s="5" t="inlineStr">
        <is>
          <t>Tom Little</t>
        </is>
      </c>
      <c r="B15" s="5" t="inlineStr">
        <is>
          <t>Engineer IV</t>
        </is>
      </c>
      <c r="C15" s="15" t="inlineStr">
        <is>
          <t>org chart — no hours in KPI report</t>
        </is>
      </c>
      <c r="D15" s="12">
        <f>Rates!B14</f>
        <v/>
      </c>
      <c r="E15" s="13" t="n"/>
      <c r="F15" s="10" t="n"/>
      <c r="G15" s="10" t="n"/>
      <c r="H15" s="10" t="n"/>
      <c r="I15" s="13" t="n"/>
      <c r="J15" s="10" t="n"/>
      <c r="K15" s="10" t="n"/>
      <c r="L15" s="14" t="n"/>
    </row>
    <row r="16">
      <c r="A16" s="5" t="inlineStr">
        <is>
          <t>Erin Bryden</t>
        </is>
      </c>
      <c r="B16" s="5" t="inlineStr">
        <is>
          <t>Engineer IV</t>
        </is>
      </c>
      <c r="C16" s="15" t="inlineStr">
        <is>
          <t>org chart — no hours in KPI report</t>
        </is>
      </c>
      <c r="D16" s="12">
        <f>Rates!B14</f>
        <v/>
      </c>
      <c r="E16" s="13" t="n"/>
      <c r="F16" s="10" t="n"/>
      <c r="G16" s="10" t="n"/>
      <c r="H16" s="10" t="n"/>
      <c r="I16" s="13" t="n"/>
      <c r="J16" s="10" t="n"/>
      <c r="K16" s="10" t="n"/>
      <c r="L16" s="14" t="n"/>
    </row>
    <row r="17">
      <c r="A17" s="5" t="inlineStr">
        <is>
          <t>Patrick Nicholson</t>
        </is>
      </c>
      <c r="B17" s="5" t="inlineStr">
        <is>
          <t>Senior Designer</t>
        </is>
      </c>
      <c r="C17" s="15" t="inlineStr">
        <is>
          <t>org chart — no hours in KPI report</t>
        </is>
      </c>
      <c r="D17" s="12">
        <f>Rates!B10</f>
        <v/>
      </c>
      <c r="E17" s="13" t="n"/>
      <c r="F17" s="10" t="n"/>
      <c r="G17" s="10" t="n"/>
      <c r="H17" s="10" t="n"/>
      <c r="I17" s="13" t="n"/>
      <c r="J17" s="10" t="n"/>
      <c r="K17" s="10" t="n"/>
      <c r="L17" s="14" t="n"/>
    </row>
    <row r="18">
      <c r="A18" s="16" t="inlineStr">
        <is>
          <t>TOTAL / blended</t>
        </is>
      </c>
      <c r="B18" s="17" t="n"/>
      <c r="C18" s="17" t="n"/>
      <c r="D18" s="18">
        <f>L18/I18</f>
        <v/>
      </c>
      <c r="E18" s="19">
        <f>SUM(E5:E17)</f>
        <v/>
      </c>
      <c r="F18" s="17" t="n"/>
      <c r="G18" s="17" t="n"/>
      <c r="H18" s="17" t="n"/>
      <c r="I18" s="19">
        <f>SUM(I5:I17)</f>
        <v/>
      </c>
      <c r="J18" s="17" t="n"/>
      <c r="K18" s="17" t="n"/>
      <c r="L18" s="20">
        <f>SUM(L5:L17)</f>
        <v/>
      </c>
    </row>
    <row r="20">
      <c r="A20" s="2" t="inlineStr">
        <is>
          <t>KPI report totals: 8,052.25 total hrs · 4,747 billable · 2,896 non-billable · 405 bids · 59.0% total billable utilization. Roster above sums slightly lower (~193 hrs unattributed on the report page).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13" customWidth="1" min="4" max="4"/>
    <col width="14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Labor Cost — standard rates and margin by person</t>
        </is>
      </c>
    </row>
    <row r="2">
      <c r="A2" s="2" t="inlineStr">
        <is>
          <t>Cost rates from COINS Timesheet Costs Report (JC016755), Jul 2026. Loaded cost = raw × (1 + burden). Burden on Assumptions.</t>
        </is>
      </c>
    </row>
    <row r="4">
      <c r="A4" s="4" t="inlineStr">
        <is>
          <t>Name</t>
        </is>
      </c>
      <c r="B4" s="4" t="inlineStr">
        <is>
          <t>Billing classification</t>
        </is>
      </c>
      <c r="C4" s="4" t="inlineStr">
        <is>
          <t>Bill rate / hr</t>
        </is>
      </c>
      <c r="D4" s="4" t="inlineStr">
        <is>
          <t>Raw cost / hr</t>
        </is>
      </c>
      <c r="E4" s="4" t="inlineStr">
        <is>
          <t>Loaded cost / hr</t>
        </is>
      </c>
      <c r="F4" s="4" t="inlineStr">
        <is>
          <t>Margin / hr (bill − loaded)</t>
        </is>
      </c>
      <c r="G4" s="4" t="inlineStr">
        <is>
          <t>Cost multiplier (bill ÷ loaded)</t>
        </is>
      </c>
      <c r="H4" s="4" t="inlineStr">
        <is>
          <t>Billable value @ card</t>
        </is>
      </c>
    </row>
    <row r="5">
      <c r="A5" s="5" t="inlineStr">
        <is>
          <t>Roy Pierce</t>
        </is>
      </c>
      <c r="B5" s="5" t="inlineStr">
        <is>
          <t>Principal Engineer</t>
        </is>
      </c>
      <c r="C5" s="12">
        <f>Rates!B16</f>
        <v/>
      </c>
      <c r="D5" s="12" t="n">
        <v>149.57</v>
      </c>
      <c r="E5" s="12">
        <f>D5*(1+Assumptions!$B$9)</f>
        <v/>
      </c>
      <c r="F5" s="12">
        <f>C5-E5</f>
        <v/>
      </c>
      <c r="G5" s="21">
        <f>C5/E5</f>
        <v/>
      </c>
      <c r="H5" s="14">
        <f>'Roster &amp; Hours'!L12</f>
        <v/>
      </c>
    </row>
    <row r="6">
      <c r="A6" s="5" t="inlineStr">
        <is>
          <t>Hayley Worthen</t>
        </is>
      </c>
      <c r="B6" s="5" t="inlineStr">
        <is>
          <t>Senior Engineer</t>
        </is>
      </c>
      <c r="C6" s="12">
        <f>Rates!B15</f>
        <v/>
      </c>
      <c r="D6" s="12" t="n">
        <v>138.05</v>
      </c>
      <c r="E6" s="12">
        <f>D6*(1+Assumptions!$B$9)</f>
        <v/>
      </c>
      <c r="F6" s="12">
        <f>C6-E6</f>
        <v/>
      </c>
      <c r="G6" s="21">
        <f>C6/E6</f>
        <v/>
      </c>
      <c r="H6" s="14">
        <f>'Roster &amp; Hours'!L8</f>
        <v/>
      </c>
    </row>
    <row r="7">
      <c r="A7" s="5" t="inlineStr">
        <is>
          <t>Bhkti Patel</t>
        </is>
      </c>
      <c r="B7" s="5" t="inlineStr">
        <is>
          <t>Engineer III</t>
        </is>
      </c>
      <c r="C7" s="12">
        <f>Rates!B13</f>
        <v/>
      </c>
      <c r="D7" s="12" t="n">
        <v>107.6</v>
      </c>
      <c r="E7" s="12">
        <f>D7*(1+Assumptions!$B$9)</f>
        <v/>
      </c>
      <c r="F7" s="12">
        <f>C7-E7</f>
        <v/>
      </c>
      <c r="G7" s="21">
        <f>C7/E7</f>
        <v/>
      </c>
      <c r="H7" s="14">
        <f>'Roster &amp; Hours'!L6</f>
        <v/>
      </c>
    </row>
    <row r="8">
      <c r="A8" s="5" t="inlineStr">
        <is>
          <t>Francis Wagner</t>
        </is>
      </c>
      <c r="B8" s="5" t="inlineStr">
        <is>
          <t>Engineer III</t>
        </is>
      </c>
      <c r="C8" s="12">
        <f>Rates!B13</f>
        <v/>
      </c>
      <c r="D8" s="12" t="n">
        <v>107.6</v>
      </c>
      <c r="E8" s="12">
        <f>D8*(1+Assumptions!$B$9)</f>
        <v/>
      </c>
      <c r="F8" s="12">
        <f>C8-E8</f>
        <v/>
      </c>
      <c r="G8" s="21">
        <f>C8/E8</f>
        <v/>
      </c>
      <c r="H8" s="14">
        <f>'Roster &amp; Hours'!L9</f>
        <v/>
      </c>
    </row>
    <row r="9">
      <c r="A9" s="5" t="inlineStr">
        <is>
          <t>Kevin Metts</t>
        </is>
      </c>
      <c r="B9" s="5" t="inlineStr">
        <is>
          <t>Designer II</t>
        </is>
      </c>
      <c r="C9" s="12">
        <f>Rates!B9</f>
        <v/>
      </c>
      <c r="D9" s="12" t="n">
        <v>92.39</v>
      </c>
      <c r="E9" s="12">
        <f>D9*(1+Assumptions!$B$9)</f>
        <v/>
      </c>
      <c r="F9" s="12">
        <f>C9-E9</f>
        <v/>
      </c>
      <c r="G9" s="21">
        <f>C9/E9</f>
        <v/>
      </c>
      <c r="H9" s="14">
        <f>'Roster &amp; Hours'!L11</f>
        <v/>
      </c>
    </row>
    <row r="10">
      <c r="A10" s="5" t="inlineStr">
        <is>
          <t>Craig Peterson</t>
        </is>
      </c>
      <c r="B10" s="5" t="inlineStr">
        <is>
          <t>Engineer I</t>
        </is>
      </c>
      <c r="C10" s="12">
        <f>Rates!B11</f>
        <v/>
      </c>
      <c r="D10" s="12" t="n">
        <v>77.16</v>
      </c>
      <c r="E10" s="12">
        <f>D10*(1+Assumptions!$B$9)</f>
        <v/>
      </c>
      <c r="F10" s="12">
        <f>C10-E10</f>
        <v/>
      </c>
      <c r="G10" s="21">
        <f>C10/E10</f>
        <v/>
      </c>
      <c r="H10" s="14">
        <f>'Roster &amp; Hours'!L5</f>
        <v/>
      </c>
    </row>
    <row r="11">
      <c r="A11" s="5" t="inlineStr">
        <is>
          <t>Taylor Nelson</t>
        </is>
      </c>
      <c r="B11" s="5" t="inlineStr">
        <is>
          <t>Engineer II</t>
        </is>
      </c>
      <c r="C11" s="12">
        <f>Rates!B12</f>
        <v/>
      </c>
      <c r="D11" s="12" t="n">
        <v>77.16</v>
      </c>
      <c r="E11" s="12">
        <f>D11*(1+Assumptions!$B$9)</f>
        <v/>
      </c>
      <c r="F11" s="12">
        <f>C11-E11</f>
        <v/>
      </c>
      <c r="G11" s="21">
        <f>C11/E11</f>
        <v/>
      </c>
      <c r="H11" s="14">
        <f>'Roster &amp; Hours'!L7</f>
        <v/>
      </c>
    </row>
    <row r="12">
      <c r="A12" s="5" t="inlineStr">
        <is>
          <t>Collin Allen</t>
        </is>
      </c>
      <c r="B12" s="5" t="inlineStr">
        <is>
          <t>Graphics Technician</t>
        </is>
      </c>
      <c r="C12" s="12">
        <f>Rates!B6</f>
        <v/>
      </c>
      <c r="D12" s="12" t="n">
        <v>51.11</v>
      </c>
      <c r="E12" s="12">
        <f>D12*(1+Assumptions!$B$9)</f>
        <v/>
      </c>
      <c r="F12" s="12">
        <f>C12-E12</f>
        <v/>
      </c>
      <c r="G12" s="21">
        <f>C12/E12</f>
        <v/>
      </c>
      <c r="H12" s="14">
        <f>'Roster &amp; Hours'!L10</f>
        <v/>
      </c>
    </row>
    <row r="13">
      <c r="A13" s="5" t="inlineStr">
        <is>
          <t>Randy Pynenberg</t>
        </is>
      </c>
      <c r="B13" s="5" t="inlineStr">
        <is>
          <t>Engineer IV</t>
        </is>
      </c>
      <c r="C13" s="12">
        <f>Rates!B14</f>
        <v/>
      </c>
      <c r="D13" s="22" t="inlineStr">
        <is>
          <t>TBD</t>
        </is>
      </c>
      <c r="E13" s="12" t="n"/>
      <c r="F13" s="12" t="n"/>
      <c r="G13" s="21" t="n"/>
      <c r="H13" s="14">
        <f>'Roster &amp; Hours'!L13</f>
        <v/>
      </c>
    </row>
    <row r="14">
      <c r="A14" s="5" t="inlineStr">
        <is>
          <t>Auston Hopson</t>
        </is>
      </c>
      <c r="B14" s="5" t="inlineStr">
        <is>
          <t>Graphics Technician</t>
        </is>
      </c>
      <c r="C14" s="12">
        <f>Rates!B6</f>
        <v/>
      </c>
      <c r="D14" s="22" t="inlineStr">
        <is>
          <t>TBD</t>
        </is>
      </c>
      <c r="E14" s="12" t="n"/>
      <c r="F14" s="12" t="n"/>
      <c r="G14" s="21" t="n"/>
      <c r="H14" s="14">
        <f>'Roster &amp; Hours'!L14</f>
        <v/>
      </c>
    </row>
    <row r="15">
      <c r="A15" s="16" t="inlineStr">
        <is>
          <t>Blended (weighted by billable hrs)</t>
        </is>
      </c>
      <c r="B15" s="17" t="n"/>
      <c r="C15" s="17" t="n"/>
      <c r="D15" s="18">
        <f>SUMPRODUCT('Roster &amp; Hours'!I5:I12,D5:D12)/SUM('Roster &amp; Hours'!I5:I12)</f>
        <v/>
      </c>
      <c r="E15" s="18">
        <f>D15*(1+Assumptions!$B$9)</f>
        <v/>
      </c>
      <c r="F15" s="17" t="n"/>
      <c r="G15" s="17" t="n"/>
      <c r="H15" s="17" t="n"/>
    </row>
    <row r="17">
      <c r="A17" s="2" t="inlineStr">
        <is>
          <t>RAW vs BURDENED — assessment: these are base/pay rates, burden-EXCLUSIVE. Two tells:</t>
        </is>
      </c>
    </row>
    <row r="18">
      <c r="A18" s="2" t="inlineStr">
        <is>
          <t xml:space="preserve">  1. The GL books burden (FICA, UI, WC, health, pension, benefits, vac/hol = $157.4K YTD) as separate</t>
        </is>
      </c>
    </row>
    <row r="19">
      <c r="A19" s="2" t="inlineStr">
        <is>
          <t xml:space="preserve">     operating-expense lines, NOT inside Cost of Revenues. If the job-cost rate were fully loaded, that</t>
        </is>
      </c>
    </row>
    <row r="20">
      <c r="A20" s="2" t="inlineStr">
        <is>
          <t xml:space="preserve">     burden would sit in COGS instead — it cannot be in both. So the rate feeding COGS is burden-free.</t>
        </is>
      </c>
    </row>
    <row r="21">
      <c r="A21" s="2" t="inlineStr">
        <is>
          <t xml:space="preserve">  2. On the COINS internal-labor job (9715), PTO, holiday and sick hours are booked at the SAME per-person</t>
        </is>
      </c>
    </row>
    <row r="22">
      <c r="A22" s="2" t="inlineStr">
        <is>
          <t xml:space="preserve">     rate. A fully-burdened rate would double-count fringe when vacation/holiday time is also charged at it.</t>
        </is>
      </c>
    </row>
    <row r="23">
      <c r="A23" s="2" t="inlineStr">
        <is>
          <t>Therefore: loaded cost = raw × (1 + burden%), burden ≈ 33.8% blended (Assumptions!B9). Note the blend is</t>
        </is>
      </c>
    </row>
    <row r="24">
      <c r="A24" s="2" t="inlineStr">
        <is>
          <t>approximate — health insurance is ~flat $/head (heavier on lower-paid staff) and payroll taxes cap on high</t>
        </is>
      </c>
    </row>
    <row r="25">
      <c r="A25" s="2" t="inlineStr">
        <is>
          <t>earners, so true burden % is higher at the bottom of the roster and lower at the top.</t>
        </is>
      </c>
    </row>
    <row r="26">
      <c r="A26" s="2" t="inlineStr">
        <is>
          <t>TO CONFIRM DEFINITIVELY: ask payroll/COINS admin what the standard cost rate includes, or reconcile the</t>
        </is>
      </c>
    </row>
    <row r="27">
      <c r="A27" s="2" t="inlineStr">
        <is>
          <t>timesheet direct-labor total to the GL 'Labor-Design Services' line ($428.5K YTD).</t>
        </is>
      </c>
    </row>
    <row r="28">
      <c r="A28" s="2" t="inlineStr">
        <is>
          <t>Cost rates cluster by grade (both Engineer IIIs = $107.60), a good validation. Taylor Nelson costs at the</t>
        </is>
      </c>
    </row>
    <row r="29">
      <c r="A29" s="2" t="inlineStr">
        <is>
          <t>Engineer I rate ($77.16) despite the assumed Engineer II billing class — worth confirming.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CVR — Baseline P&amp;L, January–June 2026 (all figures $K)</t>
        </is>
      </c>
    </row>
    <row r="2">
      <c r="A2" s="2" t="inlineStr">
        <is>
          <t>Jan–May monthlies from the KPI report; June from the GL statements (cross-tied on Checks tab). COGS/OpEx derived Jan–May.</t>
        </is>
      </c>
    </row>
    <row r="4">
      <c r="A4" s="4" t="inlineStr">
        <is>
          <t>CVR ACTUALS ($K)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YTD</t>
        </is>
      </c>
    </row>
    <row r="5">
      <c r="A5" s="3" t="inlineStr">
        <is>
          <t>Revenue</t>
        </is>
      </c>
      <c r="B5" s="23" t="n">
        <v>110.5</v>
      </c>
      <c r="C5" s="23" t="n">
        <v>96.8</v>
      </c>
      <c r="D5" s="23" t="n">
        <v>39.3</v>
      </c>
      <c r="E5" s="23" t="n">
        <v>94.59999999999999</v>
      </c>
      <c r="F5" s="23" t="n">
        <v>85.5</v>
      </c>
      <c r="G5" s="23" t="n">
        <v>124.4</v>
      </c>
      <c r="H5" s="24">
        <f>SUM(B5:G5)</f>
        <v/>
      </c>
    </row>
    <row r="6">
      <c r="A6" s="25" t="inlineStr">
        <is>
          <t>Cost of Sales (derived)</t>
        </is>
      </c>
      <c r="B6" s="23">
        <f>B5-B7</f>
        <v/>
      </c>
      <c r="C6" s="23">
        <f>C5-C7</f>
        <v/>
      </c>
      <c r="D6" s="23">
        <f>D5-D7</f>
        <v/>
      </c>
      <c r="E6" s="23">
        <f>E5-E7</f>
        <v/>
      </c>
      <c r="F6" s="23">
        <f>F5-F7</f>
        <v/>
      </c>
      <c r="G6" s="23">
        <f>G5-G7</f>
        <v/>
      </c>
      <c r="H6" s="24">
        <f>SUM(B6:G6)</f>
        <v/>
      </c>
    </row>
    <row r="7">
      <c r="A7" s="3" t="inlineStr">
        <is>
          <t>Gross Profit</t>
        </is>
      </c>
      <c r="B7" s="23" t="n">
        <v>52.6</v>
      </c>
      <c r="C7" s="23" t="n">
        <v>24.2</v>
      </c>
      <c r="D7" s="23" t="n">
        <v>-15.7</v>
      </c>
      <c r="E7" s="23" t="n">
        <v>33.7</v>
      </c>
      <c r="F7" s="23" t="n">
        <v>-18</v>
      </c>
      <c r="G7" s="23" t="n">
        <v>45.8</v>
      </c>
      <c r="H7" s="24">
        <f>SUM(B7:G7)</f>
        <v/>
      </c>
    </row>
    <row r="8">
      <c r="A8" t="inlineStr">
        <is>
          <t>Gross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26">
        <f>F7/F5</f>
        <v/>
      </c>
      <c r="G8" s="26">
        <f>G7/G5</f>
        <v/>
      </c>
      <c r="H8" s="26">
        <f>H7/H5</f>
        <v/>
      </c>
    </row>
    <row r="9">
      <c r="A9" s="25" t="inlineStr">
        <is>
          <t>Operating Expenses (derived)</t>
        </is>
      </c>
      <c r="B9" s="23">
        <f>B7-B10</f>
        <v/>
      </c>
      <c r="C9" s="23">
        <f>C7-C10</f>
        <v/>
      </c>
      <c r="D9" s="23">
        <f>D7-D10</f>
        <v/>
      </c>
      <c r="E9" s="23">
        <f>E7-E10</f>
        <v/>
      </c>
      <c r="F9" s="23">
        <f>F7-F10</f>
        <v/>
      </c>
      <c r="G9" s="23">
        <f>G7-G10</f>
        <v/>
      </c>
      <c r="H9" s="24">
        <f>SUM(B9:G9)</f>
        <v/>
      </c>
    </row>
    <row r="10">
      <c r="A10" s="3" t="inlineStr">
        <is>
          <t>Net Income / (Loss)</t>
        </is>
      </c>
      <c r="B10" s="23" t="n">
        <v>-41.7</v>
      </c>
      <c r="C10" s="23" t="n">
        <v>-49.1</v>
      </c>
      <c r="D10" s="23" t="n">
        <v>-98.8</v>
      </c>
      <c r="E10" s="23" t="n">
        <v>-60.5</v>
      </c>
      <c r="F10" s="23" t="n">
        <v>-54.5</v>
      </c>
      <c r="G10" s="23" t="n">
        <v>-15.8</v>
      </c>
      <c r="H10" s="24">
        <f>SUM(B10:G10)</f>
        <v/>
      </c>
    </row>
    <row r="11">
      <c r="A11" t="inlineStr">
        <is>
          <t>Net margin %</t>
        </is>
      </c>
      <c r="B11" s="26">
        <f>B10/B5</f>
        <v/>
      </c>
      <c r="C11" s="26">
        <f>C10/C5</f>
        <v/>
      </c>
      <c r="D11" s="26">
        <f>D10/D5</f>
        <v/>
      </c>
      <c r="E11" s="26">
        <f>E10/E5</f>
        <v/>
      </c>
      <c r="F11" s="26">
        <f>F10/F5</f>
        <v/>
      </c>
      <c r="G11" s="26">
        <f>G10/G5</f>
        <v/>
      </c>
      <c r="H11" s="26">
        <f>H10/H5</f>
        <v/>
      </c>
    </row>
    <row r="13">
      <c r="A13" s="4" t="inlineStr">
        <is>
          <t>BUDGET ($K, monthly = Δ of published YTD)</t>
        </is>
      </c>
      <c r="B13" s="4" t="inlineStr">
        <is>
          <t>Jan</t>
        </is>
      </c>
      <c r="C13" s="4" t="inlineStr">
        <is>
          <t>Feb</t>
        </is>
      </c>
      <c r="D13" s="4" t="inlineStr">
        <is>
          <t>Mar</t>
        </is>
      </c>
      <c r="E13" s="4" t="inlineStr">
        <is>
          <t>Apr</t>
        </is>
      </c>
      <c r="F13" s="4" t="inlineStr">
        <is>
          <t>May</t>
        </is>
      </c>
      <c r="G13" s="4" t="inlineStr">
        <is>
          <t>Jun</t>
        </is>
      </c>
      <c r="H13" s="4" t="inlineStr">
        <is>
          <t>YTD</t>
        </is>
      </c>
    </row>
    <row r="14">
      <c r="A14" t="inlineStr">
        <is>
          <t>Revenue — budget</t>
        </is>
      </c>
      <c r="B14" s="23" t="n">
        <v>169.1</v>
      </c>
      <c r="C14" s="23" t="n">
        <v>169.1</v>
      </c>
      <c r="D14" s="23" t="n">
        <v>169.1</v>
      </c>
      <c r="E14" s="23" t="n">
        <v>169.1</v>
      </c>
      <c r="F14" s="23" t="n">
        <v>169.1</v>
      </c>
      <c r="G14" s="23" t="n">
        <v>169.1</v>
      </c>
      <c r="H14" s="24">
        <f>SUM(B14:G14)</f>
        <v/>
      </c>
    </row>
    <row r="15">
      <c r="A15" t="inlineStr">
        <is>
          <t>Gross Profit — budget</t>
        </is>
      </c>
      <c r="B15" s="23" t="n">
        <v>104.1</v>
      </c>
      <c r="C15" s="23" t="n">
        <v>104.1</v>
      </c>
      <c r="D15" s="23" t="n">
        <v>104.1</v>
      </c>
      <c r="E15" s="23" t="n">
        <v>104.2</v>
      </c>
      <c r="F15" s="23" t="n">
        <v>104.1</v>
      </c>
      <c r="G15" s="23" t="n">
        <v>104.1</v>
      </c>
      <c r="H15" s="24">
        <f>SUM(B15:G15)</f>
        <v/>
      </c>
    </row>
    <row r="16">
      <c r="A16" t="inlineStr">
        <is>
          <t>Net Income — budget</t>
        </is>
      </c>
      <c r="B16" s="23" t="n">
        <v>11.6</v>
      </c>
      <c r="C16" s="23" t="n">
        <v>11.6</v>
      </c>
      <c r="D16" s="23" t="n">
        <v>11.7</v>
      </c>
      <c r="E16" s="23" t="n">
        <v>11.6</v>
      </c>
      <c r="F16" s="23" t="n">
        <v>11.6</v>
      </c>
      <c r="G16" s="23" t="n">
        <v>11.6</v>
      </c>
      <c r="H16" s="24">
        <f>SUM(B16:G16)</f>
        <v/>
      </c>
    </row>
    <row r="18">
      <c r="A18" s="4" t="inlineStr">
        <is>
          <t>VARIANCE — YTD ($K)</t>
        </is>
      </c>
      <c r="B18" s="4" t="inlineStr">
        <is>
          <t>Actual</t>
        </is>
      </c>
      <c r="C18" s="4" t="inlineStr">
        <is>
          <t>Budget</t>
        </is>
      </c>
      <c r="D18" s="4" t="inlineStr">
        <is>
          <t>Act − Bud</t>
        </is>
      </c>
    </row>
    <row r="19">
      <c r="A19" s="5" t="inlineStr">
        <is>
          <t>Revenue</t>
        </is>
      </c>
      <c r="B19" s="23">
        <f>H5</f>
        <v/>
      </c>
      <c r="C19" s="23">
        <f>H14</f>
        <v/>
      </c>
      <c r="D19" s="23">
        <f>B19-C19</f>
        <v/>
      </c>
    </row>
    <row r="20">
      <c r="A20" s="5" t="inlineStr">
        <is>
          <t>Gross Profit</t>
        </is>
      </c>
      <c r="B20" s="23">
        <f>H7</f>
        <v/>
      </c>
      <c r="C20" s="23">
        <f>H15</f>
        <v/>
      </c>
      <c r="D20" s="23">
        <f>B20-C20</f>
        <v/>
      </c>
    </row>
    <row r="21">
      <c r="A21" s="5" t="inlineStr">
        <is>
          <t>Net Income</t>
        </is>
      </c>
      <c r="B21" s="23">
        <f>H10</f>
        <v/>
      </c>
      <c r="C21" s="23">
        <f>H16</f>
        <v/>
      </c>
      <c r="D21" s="23">
        <f>B21-C21</f>
        <v/>
      </c>
    </row>
    <row r="23">
      <c r="A23" s="2" t="inlineStr">
        <is>
          <t>June was the best month YTD: 36.8% gross margin and a near-breakeven operating result (−$9.8K before interest). Note the June budget expects 61.6% GP — the actual/budget gap is labor cost vs revenue (see Realization).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CVR Engineering — GL Income Statement, period ending 6/30/2026 (all figures $)</t>
        </is>
      </c>
    </row>
    <row r="2">
      <c r="A2" s="2" t="inlineStr">
        <is>
          <t>Source: data/CVR_Financial_Statements_2026-06-30.pdf (COINS GL Reporter). This is the line-item structure Phase 2 forecasts against.</t>
        </is>
      </c>
    </row>
    <row r="4">
      <c r="A4" s="4" t="inlineStr">
        <is>
          <t>Line</t>
        </is>
      </c>
      <c r="B4" s="4" t="inlineStr">
        <is>
          <t>Jun Actual</t>
        </is>
      </c>
      <c r="C4" s="4" t="inlineStr">
        <is>
          <t>Jun Budget</t>
        </is>
      </c>
      <c r="D4" s="4" t="inlineStr">
        <is>
          <t>Jun PY</t>
        </is>
      </c>
      <c r="E4" s="4" t="inlineStr">
        <is>
          <t>YTD Actual</t>
        </is>
      </c>
      <c r="F4" s="4" t="inlineStr">
        <is>
          <t>YTD Budget</t>
        </is>
      </c>
      <c r="G4" s="4" t="inlineStr">
        <is>
          <t>YTD PY</t>
        </is>
      </c>
    </row>
    <row r="5">
      <c r="A5" s="27" t="inlineStr">
        <is>
          <t>Sales-Design Services</t>
        </is>
      </c>
      <c r="B5" s="28" t="n">
        <v>124360</v>
      </c>
      <c r="C5" s="28" t="n">
        <v>169094</v>
      </c>
      <c r="D5" s="28" t="n">
        <v>86705</v>
      </c>
      <c r="E5" s="28" t="n">
        <v>551013</v>
      </c>
      <c r="F5" s="28" t="n">
        <v>1014563</v>
      </c>
      <c r="G5" s="28" t="n">
        <v>399143</v>
      </c>
    </row>
    <row r="6">
      <c r="A6" t="inlineStr">
        <is>
          <t>Subcontract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218460</v>
      </c>
    </row>
    <row r="7">
      <c r="A7" t="inlineStr">
        <is>
          <t>Labor-Design Services</t>
        </is>
      </c>
      <c r="B7" s="11" t="n">
        <v>78573</v>
      </c>
      <c r="C7" s="11" t="n">
        <v>64980</v>
      </c>
      <c r="D7" s="11" t="n">
        <v>43947</v>
      </c>
      <c r="E7" s="11" t="n">
        <v>428498</v>
      </c>
      <c r="F7" s="11" t="n">
        <v>389882</v>
      </c>
      <c r="G7" s="11" t="n">
        <v>462051</v>
      </c>
    </row>
    <row r="8">
      <c r="A8" s="27" t="inlineStr">
        <is>
          <t>Direct Cost of Revenues Earned</t>
        </is>
      </c>
      <c r="B8" s="28" t="n">
        <v>78573</v>
      </c>
      <c r="C8" s="28" t="n">
        <v>64980</v>
      </c>
      <c r="D8" s="28" t="n">
        <v>43947</v>
      </c>
      <c r="E8" s="28" t="n">
        <v>428498</v>
      </c>
      <c r="F8" s="28" t="n">
        <v>389882</v>
      </c>
      <c r="G8" s="28" t="n">
        <v>680511</v>
      </c>
    </row>
    <row r="9">
      <c r="A9" s="27" t="inlineStr">
        <is>
          <t>Gross Profit</t>
        </is>
      </c>
      <c r="B9" s="28" t="n">
        <v>45787</v>
      </c>
      <c r="C9" s="28" t="n">
        <v>104114</v>
      </c>
      <c r="D9" s="28" t="n">
        <v>42757</v>
      </c>
      <c r="E9" s="28" t="n">
        <v>122514</v>
      </c>
      <c r="F9" s="28" t="n">
        <v>624681</v>
      </c>
      <c r="G9" s="28" t="n">
        <v>-281368</v>
      </c>
    </row>
    <row r="10">
      <c r="A10" t="inlineStr">
        <is>
          <t>Labor-Indirect</t>
        </is>
      </c>
      <c r="B10" s="11" t="n">
        <v>-6078</v>
      </c>
      <c r="C10" s="11" t="n">
        <v>22236</v>
      </c>
      <c r="D10" s="11" t="n">
        <v>41879</v>
      </c>
      <c r="E10" s="11" t="n">
        <v>36890</v>
      </c>
      <c r="F10" s="11" t="n">
        <v>133414</v>
      </c>
      <c r="G10" s="11" t="n">
        <v>86024</v>
      </c>
    </row>
    <row r="11">
      <c r="A11" t="inlineStr">
        <is>
          <t>FICA Expense</t>
        </is>
      </c>
      <c r="B11" s="11" t="n">
        <v>5841</v>
      </c>
      <c r="C11" s="11" t="n">
        <v>7003</v>
      </c>
      <c r="D11" s="11" t="n">
        <v>7460</v>
      </c>
      <c r="E11" s="11" t="n">
        <v>38930</v>
      </c>
      <c r="F11" s="11" t="n">
        <v>42018</v>
      </c>
      <c r="G11" s="11" t="n">
        <v>45315</v>
      </c>
    </row>
    <row r="12">
      <c r="A12" t="inlineStr">
        <is>
          <t>Federal Unemployment Expense</t>
        </is>
      </c>
      <c r="B12" s="11" t="n">
        <v>6</v>
      </c>
      <c r="C12" s="11" t="n">
        <v>37</v>
      </c>
      <c r="D12" s="11" t="n">
        <v>0</v>
      </c>
      <c r="E12" s="11" t="n">
        <v>184</v>
      </c>
      <c r="F12" s="11" t="n">
        <v>224</v>
      </c>
      <c r="G12" s="11" t="n">
        <v>407</v>
      </c>
    </row>
    <row r="13">
      <c r="A13" t="inlineStr">
        <is>
          <t>State Unemployment Expense</t>
        </is>
      </c>
      <c r="B13" s="11" t="n">
        <v>23</v>
      </c>
      <c r="C13" s="11" t="n">
        <v>209</v>
      </c>
      <c r="D13" s="11" t="n">
        <v>0</v>
      </c>
      <c r="E13" s="11" t="n">
        <v>324</v>
      </c>
      <c r="F13" s="11" t="n">
        <v>1252</v>
      </c>
      <c r="G13" s="11" t="n">
        <v>2298</v>
      </c>
    </row>
    <row r="14">
      <c r="A14" t="inlineStr">
        <is>
          <t>Mileage Expense</t>
        </is>
      </c>
      <c r="B14" s="11" t="n">
        <v>54</v>
      </c>
      <c r="C14" s="11" t="n">
        <v>0</v>
      </c>
      <c r="D14" s="11" t="n">
        <v>10</v>
      </c>
      <c r="E14" s="11" t="n">
        <v>188</v>
      </c>
      <c r="F14" s="11" t="n">
        <v>0</v>
      </c>
      <c r="G14" s="11" t="n">
        <v>96</v>
      </c>
    </row>
    <row r="15">
      <c r="A15" t="inlineStr">
        <is>
          <t>Repair &amp; Maint. Equip.</t>
        </is>
      </c>
      <c r="B15" s="11" t="n">
        <v>16</v>
      </c>
      <c r="C15" s="11" t="n">
        <v>19</v>
      </c>
      <c r="D15" s="11" t="n">
        <v>343</v>
      </c>
      <c r="E15" s="11" t="n">
        <v>527</v>
      </c>
      <c r="F15" s="11" t="n">
        <v>114</v>
      </c>
      <c r="G15" s="11" t="n">
        <v>368</v>
      </c>
    </row>
    <row r="16">
      <c r="A16" t="inlineStr">
        <is>
          <t>Fuel Expense</t>
        </is>
      </c>
      <c r="B16" s="11" t="n">
        <v>33</v>
      </c>
      <c r="C16" s="11" t="n">
        <v>20</v>
      </c>
      <c r="D16" s="11" t="n">
        <v>34</v>
      </c>
      <c r="E16" s="11" t="n">
        <v>185</v>
      </c>
      <c r="F16" s="11" t="n">
        <v>121</v>
      </c>
      <c r="G16" s="11" t="n">
        <v>171</v>
      </c>
    </row>
    <row r="17">
      <c r="A17" t="inlineStr">
        <is>
          <t>Licenses &amp; Permits</t>
        </is>
      </c>
      <c r="B17" s="11" t="n">
        <v>0</v>
      </c>
      <c r="C17" s="11" t="n">
        <v>183</v>
      </c>
      <c r="D17" s="11" t="n">
        <v>2</v>
      </c>
      <c r="E17" s="11" t="n">
        <v>423</v>
      </c>
      <c r="F17" s="11" t="n">
        <v>1100</v>
      </c>
      <c r="G17" s="11" t="n">
        <v>195</v>
      </c>
    </row>
    <row r="18">
      <c r="A18" t="inlineStr">
        <is>
          <t>Machinery Rental</t>
        </is>
      </c>
      <c r="B18" s="11" t="n">
        <v>56</v>
      </c>
      <c r="C18" s="11" t="n">
        <v>48</v>
      </c>
      <c r="D18" s="11" t="n">
        <v>63</v>
      </c>
      <c r="E18" s="11" t="n">
        <v>335</v>
      </c>
      <c r="F18" s="11" t="n">
        <v>285</v>
      </c>
      <c r="G18" s="11" t="n">
        <v>460</v>
      </c>
    </row>
    <row r="19">
      <c r="A19" t="inlineStr">
        <is>
          <t>Safety Expense</t>
        </is>
      </c>
      <c r="B19" s="11" t="n">
        <v>24</v>
      </c>
      <c r="C19" s="11" t="n">
        <v>70</v>
      </c>
      <c r="D19" s="11" t="n">
        <v>1</v>
      </c>
      <c r="E19" s="11" t="n">
        <v>408</v>
      </c>
      <c r="F19" s="11" t="n">
        <v>421</v>
      </c>
      <c r="G19" s="11" t="n">
        <v>64</v>
      </c>
    </row>
    <row r="20">
      <c r="A20" t="inlineStr">
        <is>
          <t>General Insurance</t>
        </is>
      </c>
      <c r="B20" s="11" t="n">
        <v>3444</v>
      </c>
      <c r="C20" s="11" t="n">
        <v>5000</v>
      </c>
      <c r="D20" s="11" t="n">
        <v>3821</v>
      </c>
      <c r="E20" s="11" t="n">
        <v>20900</v>
      </c>
      <c r="F20" s="11" t="n">
        <v>30000</v>
      </c>
      <c r="G20" s="11" t="n">
        <v>22865</v>
      </c>
    </row>
    <row r="21">
      <c r="A21" t="inlineStr">
        <is>
          <t>Workers' Compensation Insurance</t>
        </is>
      </c>
      <c r="B21" s="11" t="n">
        <v>867</v>
      </c>
      <c r="C21" s="11" t="n">
        <v>925</v>
      </c>
      <c r="D21" s="11" t="n">
        <v>1050</v>
      </c>
      <c r="E21" s="11" t="n">
        <v>5907</v>
      </c>
      <c r="F21" s="11" t="n">
        <v>5550</v>
      </c>
      <c r="G21" s="11" t="n">
        <v>6634</v>
      </c>
    </row>
    <row r="22">
      <c r="A22" t="inlineStr">
        <is>
          <t>Accounting &amp; Legal</t>
        </is>
      </c>
      <c r="B22" s="11" t="n">
        <v>73</v>
      </c>
      <c r="C22" s="11" t="n">
        <v>402</v>
      </c>
      <c r="D22" s="11" t="n">
        <v>883</v>
      </c>
      <c r="E22" s="11" t="n">
        <v>2350</v>
      </c>
      <c r="F22" s="11" t="n">
        <v>2412</v>
      </c>
      <c r="G22" s="11" t="n">
        <v>3642</v>
      </c>
    </row>
    <row r="23">
      <c r="A23" t="inlineStr">
        <is>
          <t>Advertising &amp; Sales Promotion</t>
        </is>
      </c>
      <c r="B23" s="11" t="n">
        <v>275</v>
      </c>
      <c r="C23" s="11" t="n">
        <v>113</v>
      </c>
      <c r="D23" s="11" t="n">
        <v>34</v>
      </c>
      <c r="E23" s="11" t="n">
        <v>578</v>
      </c>
      <c r="F23" s="11" t="n">
        <v>675</v>
      </c>
      <c r="G23" s="11" t="n">
        <v>335</v>
      </c>
    </row>
    <row r="24">
      <c r="A24" t="inlineStr">
        <is>
          <t>Admin. Meals &amp; Ent.-Deductible</t>
        </is>
      </c>
      <c r="B24" s="11" t="n">
        <v>870</v>
      </c>
      <c r="C24" s="11" t="n">
        <v>1150</v>
      </c>
      <c r="D24" s="11" t="n">
        <v>405</v>
      </c>
      <c r="E24" s="11" t="n">
        <v>4131</v>
      </c>
      <c r="F24" s="11" t="n">
        <v>6900</v>
      </c>
      <c r="G24" s="11" t="n">
        <v>5234</v>
      </c>
    </row>
    <row r="25">
      <c r="A25" t="inlineStr">
        <is>
          <t>Admin.-Travel &amp; Mileage</t>
        </is>
      </c>
      <c r="B25" s="11" t="n">
        <v>2619</v>
      </c>
      <c r="C25" s="11" t="n">
        <v>3650</v>
      </c>
      <c r="D25" s="11" t="n">
        <v>3093</v>
      </c>
      <c r="E25" s="11" t="n">
        <v>21700</v>
      </c>
      <c r="F25" s="11" t="n">
        <v>21900</v>
      </c>
      <c r="G25" s="11" t="n">
        <v>22067</v>
      </c>
    </row>
    <row r="26">
      <c r="A26" t="inlineStr">
        <is>
          <t>Bank Charges</t>
        </is>
      </c>
      <c r="B26" s="11" t="n">
        <v>134</v>
      </c>
      <c r="C26" s="11" t="n">
        <v>268</v>
      </c>
      <c r="D26" s="11" t="n">
        <v>144</v>
      </c>
      <c r="E26" s="11" t="n">
        <v>3213</v>
      </c>
      <c r="F26" s="11" t="n">
        <v>1611</v>
      </c>
      <c r="G26" s="11" t="n">
        <v>1318</v>
      </c>
    </row>
    <row r="27">
      <c r="A27" t="inlineStr">
        <is>
          <t>Computer Consulting Fees</t>
        </is>
      </c>
      <c r="B27" s="11" t="n">
        <v>5346</v>
      </c>
      <c r="C27" s="11" t="n">
        <v>5000</v>
      </c>
      <c r="D27" s="11" t="n">
        <v>6114</v>
      </c>
      <c r="E27" s="11" t="n">
        <v>36226</v>
      </c>
      <c r="F27" s="11" t="n">
        <v>30000</v>
      </c>
      <c r="G27" s="11" t="n">
        <v>43534</v>
      </c>
    </row>
    <row r="28">
      <c r="A28" t="inlineStr">
        <is>
          <t>Computer-PC Hardware</t>
        </is>
      </c>
      <c r="B28" s="11" t="n">
        <v>100</v>
      </c>
      <c r="C28" s="11" t="n">
        <v>417</v>
      </c>
      <c r="D28" s="11" t="n">
        <v>20</v>
      </c>
      <c r="E28" s="11" t="n">
        <v>1110</v>
      </c>
      <c r="F28" s="11" t="n">
        <v>2500</v>
      </c>
      <c r="G28" s="11" t="n">
        <v>9825</v>
      </c>
    </row>
    <row r="29">
      <c r="A29" t="inlineStr">
        <is>
          <t>Computer-PC Software</t>
        </is>
      </c>
      <c r="B29" s="11" t="n">
        <v>678</v>
      </c>
      <c r="C29" s="11" t="n">
        <v>2417</v>
      </c>
      <c r="D29" s="11" t="n">
        <v>101</v>
      </c>
      <c r="E29" s="11" t="n">
        <v>7244</v>
      </c>
      <c r="F29" s="11" t="n">
        <v>14500</v>
      </c>
      <c r="G29" s="11" t="n">
        <v>3073</v>
      </c>
    </row>
    <row r="30">
      <c r="A30" t="inlineStr">
        <is>
          <t>Computer-Internet Services</t>
        </is>
      </c>
      <c r="B30" s="11" t="n">
        <v>397</v>
      </c>
      <c r="C30" s="11" t="n">
        <v>167</v>
      </c>
      <c r="D30" s="11" t="n">
        <v>4</v>
      </c>
      <c r="E30" s="11" t="n">
        <v>3841</v>
      </c>
      <c r="F30" s="11" t="n">
        <v>1000</v>
      </c>
      <c r="G30" s="11" t="n">
        <v>1328</v>
      </c>
    </row>
    <row r="31">
      <c r="A31" t="inlineStr">
        <is>
          <t>Contributions</t>
        </is>
      </c>
      <c r="B31" s="11" t="n">
        <v>0</v>
      </c>
      <c r="C31" s="11" t="n">
        <v>31</v>
      </c>
      <c r="D31" s="11" t="n">
        <v>50</v>
      </c>
      <c r="E31" s="11" t="n">
        <v>28</v>
      </c>
      <c r="F31" s="11" t="n">
        <v>183</v>
      </c>
      <c r="G31" s="11" t="n">
        <v>677</v>
      </c>
    </row>
    <row r="32">
      <c r="A32" t="inlineStr">
        <is>
          <t>Dues &amp; Subscriptions</t>
        </is>
      </c>
      <c r="B32" s="11" t="n">
        <v>27</v>
      </c>
      <c r="C32" s="11" t="n">
        <v>68</v>
      </c>
      <c r="D32" s="11" t="n">
        <v>6</v>
      </c>
      <c r="E32" s="11" t="n">
        <v>1274</v>
      </c>
      <c r="F32" s="11" t="n">
        <v>405</v>
      </c>
      <c r="G32" s="11" t="n">
        <v>591</v>
      </c>
    </row>
    <row r="33">
      <c r="A33" t="inlineStr">
        <is>
          <t>Employee Pre-Emp. Physicals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617</v>
      </c>
    </row>
    <row r="34">
      <c r="A34" t="inlineStr">
        <is>
          <t>Employee Training &amp; Seminars</t>
        </is>
      </c>
      <c r="B34" s="11" t="n">
        <v>99</v>
      </c>
      <c r="C34" s="11" t="n">
        <v>917</v>
      </c>
      <c r="D34" s="11" t="n">
        <v>1671</v>
      </c>
      <c r="E34" s="11" t="n">
        <v>3290</v>
      </c>
      <c r="F34" s="11" t="n">
        <v>5500</v>
      </c>
      <c r="G34" s="11" t="n">
        <v>4449</v>
      </c>
    </row>
    <row r="35">
      <c r="A35" t="inlineStr">
        <is>
          <t>Employee Benefits</t>
        </is>
      </c>
      <c r="B35" s="11" t="n">
        <v>10</v>
      </c>
      <c r="C35" s="11" t="n">
        <v>0</v>
      </c>
      <c r="D35" s="11" t="n">
        <v>492</v>
      </c>
      <c r="E35" s="11" t="n">
        <v>440</v>
      </c>
      <c r="F35" s="11" t="n">
        <v>0</v>
      </c>
      <c r="G35" s="11" t="n">
        <v>47934</v>
      </c>
    </row>
    <row r="36">
      <c r="A36" t="inlineStr">
        <is>
          <t>Emp. Insurance-Group Health</t>
        </is>
      </c>
      <c r="B36" s="11" t="n">
        <v>11422</v>
      </c>
      <c r="C36" s="11" t="n">
        <v>9900</v>
      </c>
      <c r="D36" s="11" t="n">
        <v>5738</v>
      </c>
      <c r="E36" s="11" t="n">
        <v>51606</v>
      </c>
      <c r="F36" s="11" t="n">
        <v>59400</v>
      </c>
      <c r="G36" s="11" t="n">
        <v>50837</v>
      </c>
    </row>
    <row r="37">
      <c r="A37" t="inlineStr">
        <is>
          <t>Emp. Pension Expense</t>
        </is>
      </c>
      <c r="B37" s="11" t="n">
        <v>4576</v>
      </c>
      <c r="C37" s="11" t="n">
        <v>4576</v>
      </c>
      <c r="D37" s="11" t="n">
        <v>4280</v>
      </c>
      <c r="E37" s="11" t="n">
        <v>27455</v>
      </c>
      <c r="F37" s="11" t="n">
        <v>27455</v>
      </c>
      <c r="G37" s="11" t="n">
        <v>25680</v>
      </c>
    </row>
    <row r="38">
      <c r="A38" t="inlineStr">
        <is>
          <t>Employee Bonus-Office</t>
        </is>
      </c>
      <c r="B38" s="11" t="n">
        <v>0</v>
      </c>
      <c r="C38" s="11" t="n">
        <v>3333</v>
      </c>
      <c r="D38" s="11" t="n">
        <v>6418</v>
      </c>
      <c r="E38" s="11" t="n">
        <v>140</v>
      </c>
      <c r="F38" s="11" t="n">
        <v>20000</v>
      </c>
      <c r="G38" s="11" t="n">
        <v>37418</v>
      </c>
    </row>
    <row r="39">
      <c r="A39" t="inlineStr">
        <is>
          <t>Emp. Vac &amp; Hol Pay-Office</t>
        </is>
      </c>
      <c r="B39" s="11" t="n">
        <v>6424</v>
      </c>
      <c r="C39" s="11" t="n">
        <v>5280</v>
      </c>
      <c r="D39" s="11" t="n">
        <v>15042</v>
      </c>
      <c r="E39" s="11" t="n">
        <v>32570</v>
      </c>
      <c r="F39" s="11" t="n">
        <v>31679</v>
      </c>
      <c r="G39" s="11" t="n">
        <v>44993</v>
      </c>
    </row>
    <row r="40">
      <c r="A40" t="inlineStr">
        <is>
          <t>Office Supplies Expense</t>
        </is>
      </c>
      <c r="B40" s="11" t="n">
        <v>118</v>
      </c>
      <c r="C40" s="11" t="n">
        <v>550</v>
      </c>
      <c r="D40" s="11" t="n">
        <v>28</v>
      </c>
      <c r="E40" s="11" t="n">
        <v>1432</v>
      </c>
      <c r="F40" s="11" t="n">
        <v>3300</v>
      </c>
      <c r="G40" s="11" t="n">
        <v>1063</v>
      </c>
    </row>
    <row r="41">
      <c r="A41" t="inlineStr">
        <is>
          <t>Office Equipment Rental Exp.</t>
        </is>
      </c>
      <c r="B41" s="11" t="n">
        <v>19</v>
      </c>
      <c r="C41" s="11" t="n">
        <v>0</v>
      </c>
      <c r="D41" s="11" t="n">
        <v>33</v>
      </c>
      <c r="E41" s="11" t="n">
        <v>115</v>
      </c>
      <c r="F41" s="11" t="n">
        <v>0</v>
      </c>
      <c r="G41" s="11" t="n">
        <v>175</v>
      </c>
    </row>
    <row r="42">
      <c r="A42" t="inlineStr">
        <is>
          <t>Repair &amp; Maintenance-Building</t>
        </is>
      </c>
      <c r="B42" s="11" t="n">
        <v>176</v>
      </c>
      <c r="C42" s="11" t="n">
        <v>68</v>
      </c>
      <c r="D42" s="11" t="n">
        <v>87</v>
      </c>
      <c r="E42" s="11" t="n">
        <v>2082</v>
      </c>
      <c r="F42" s="11" t="n">
        <v>407</v>
      </c>
      <c r="G42" s="11" t="n">
        <v>1020</v>
      </c>
    </row>
    <row r="43">
      <c r="A43" t="inlineStr">
        <is>
          <t>Telephone</t>
        </is>
      </c>
      <c r="B43" s="11" t="n">
        <v>648</v>
      </c>
      <c r="C43" s="11" t="n">
        <v>276</v>
      </c>
      <c r="D43" s="11" t="n">
        <v>468</v>
      </c>
      <c r="E43" s="11" t="n">
        <v>2931</v>
      </c>
      <c r="F43" s="11" t="n">
        <v>1653</v>
      </c>
      <c r="G43" s="11" t="n">
        <v>2799</v>
      </c>
    </row>
    <row r="44">
      <c r="A44" t="inlineStr">
        <is>
          <t>Utilities</t>
        </is>
      </c>
      <c r="B44" s="11" t="n">
        <v>75</v>
      </c>
      <c r="C44" s="11" t="n">
        <v>0</v>
      </c>
      <c r="D44" s="11" t="n">
        <v>0</v>
      </c>
      <c r="E44" s="11" t="n">
        <v>477</v>
      </c>
      <c r="F44" s="11" t="n">
        <v>0</v>
      </c>
      <c r="G44" s="11" t="n">
        <v>0</v>
      </c>
    </row>
    <row r="45">
      <c r="A45" t="inlineStr">
        <is>
          <t>Tax-Other</t>
        </is>
      </c>
      <c r="B45" s="11" t="n">
        <v>0</v>
      </c>
      <c r="C45" s="11" t="n">
        <v>917</v>
      </c>
      <c r="D45" s="11" t="n">
        <v>0</v>
      </c>
      <c r="E45" s="11" t="n">
        <v>32</v>
      </c>
      <c r="F45" s="11" t="n">
        <v>5502</v>
      </c>
      <c r="G45" s="11" t="n">
        <v>70</v>
      </c>
    </row>
    <row r="46">
      <c r="A46" t="inlineStr">
        <is>
          <t>Corporate Overhead Allocation</t>
        </is>
      </c>
      <c r="B46" s="11" t="n">
        <v>17250</v>
      </c>
      <c r="C46" s="11" t="n">
        <v>17250</v>
      </c>
      <c r="D46" s="11" t="n">
        <v>23083</v>
      </c>
      <c r="E46" s="11" t="n">
        <v>103500</v>
      </c>
      <c r="F46" s="11" t="n">
        <v>103500</v>
      </c>
      <c r="G46" s="11" t="n">
        <v>138498</v>
      </c>
    </row>
    <row r="47">
      <c r="A47" s="27" t="inlineStr">
        <is>
          <t>Total Operating Expenses</t>
        </is>
      </c>
      <c r="B47" s="28" t="n">
        <v>55620</v>
      </c>
      <c r="C47" s="28" t="n">
        <v>92497</v>
      </c>
      <c r="D47" s="28" t="n">
        <v>122857</v>
      </c>
      <c r="E47" s="28" t="n">
        <v>412964</v>
      </c>
      <c r="F47" s="28" t="n">
        <v>554982</v>
      </c>
      <c r="G47" s="28" t="n">
        <v>612073</v>
      </c>
    </row>
    <row r="48">
      <c r="A48" s="27" t="inlineStr">
        <is>
          <t>Operating Income (Loss)</t>
        </is>
      </c>
      <c r="B48" s="28" t="n">
        <v>-9832</v>
      </c>
      <c r="C48" s="28" t="n">
        <v>11617</v>
      </c>
      <c r="D48" s="28" t="n">
        <v>-80100</v>
      </c>
      <c r="E48" s="28" t="n">
        <v>-290450</v>
      </c>
      <c r="F48" s="28" t="n">
        <v>69699</v>
      </c>
      <c r="G48" s="28" t="n">
        <v>-893441</v>
      </c>
    </row>
    <row r="49">
      <c r="A49" t="inlineStr">
        <is>
          <t>Interest Expense</t>
        </is>
      </c>
      <c r="B49" s="11" t="n">
        <v>6013</v>
      </c>
      <c r="C49" s="11" t="n">
        <v>0</v>
      </c>
      <c r="D49" s="11" t="n">
        <v>4893</v>
      </c>
      <c r="E49" s="11" t="n">
        <v>30087</v>
      </c>
      <c r="F49" s="11" t="n">
        <v>0</v>
      </c>
      <c r="G49" s="11" t="n">
        <v>29100</v>
      </c>
    </row>
    <row r="50">
      <c r="A50" s="27" t="inlineStr">
        <is>
          <t>Net Income (Loss)</t>
        </is>
      </c>
      <c r="B50" s="28" t="n">
        <v>-15845</v>
      </c>
      <c r="C50" s="28" t="n">
        <v>11617</v>
      </c>
      <c r="D50" s="28" t="n">
        <v>-84993</v>
      </c>
      <c r="E50" s="28" t="n">
        <v>-320537</v>
      </c>
      <c r="F50" s="28" t="n">
        <v>69699</v>
      </c>
      <c r="G50" s="28" t="n">
        <v>-922542</v>
      </c>
    </row>
    <row r="51">
      <c r="A51" s="3" t="inlineStr">
        <is>
          <t>OILI (Operating Income less Interest)</t>
        </is>
      </c>
      <c r="B51" s="29">
        <f>B48-B49</f>
        <v/>
      </c>
      <c r="C51" s="29">
        <f>C48-C49</f>
        <v/>
      </c>
      <c r="D51" s="29">
        <f>D48-D49</f>
        <v/>
      </c>
      <c r="E51" s="29">
        <f>E48-E49</f>
        <v/>
      </c>
      <c r="F51" s="29">
        <f>F48-F49</f>
        <v/>
      </c>
      <c r="G51" s="29">
        <f>G48-G49</f>
        <v/>
      </c>
    </row>
    <row r="52">
      <c r="A52" s="3" t="inlineStr">
        <is>
          <t>OILI return % (OILI ÷ revenue)</t>
        </is>
      </c>
      <c r="B52" s="30">
        <f>IF(B5=0,"n/a",(B48-B49)/B5)</f>
        <v/>
      </c>
      <c r="C52" s="30">
        <f>IF(C5=0,"n/a",(C48-C49)/C5)</f>
        <v/>
      </c>
      <c r="D52" s="30">
        <f>IF(D5=0,"n/a",(D48-D49)/D5)</f>
        <v/>
      </c>
      <c r="E52" s="30">
        <f>IF(E5=0,"n/a",(E48-E49)/E5)</f>
        <v/>
      </c>
      <c r="F52" s="30">
        <f>IF(F5=0,"n/a",(F48-F49)/F5)</f>
        <v/>
      </c>
      <c r="G52" s="30">
        <f>IF(G5=0,"n/a",(G48-G49)/G5)</f>
        <v/>
      </c>
    </row>
    <row r="54">
      <c r="A54" s="2" t="inlineStr">
        <is>
          <t>June Labor-Indirect is negative (−$6,078): a reclass/credit month — worth confirming with accounting.</t>
        </is>
      </c>
    </row>
    <row r="55">
      <c r="A55" s="2" t="inlineStr">
        <is>
          <t>Budget carries no interest expense; actual interest (~$5K/mo) accrues on the $3.44M parent note, so OILI</t>
        </is>
      </c>
    </row>
    <row r="56">
      <c r="A56" s="2" t="inlineStr">
        <is>
          <t>and Net Income diverge from budget by that amount even at budgeted operating performance.</t>
        </is>
      </c>
    </row>
    <row r="57">
      <c r="A57" s="2" t="inlineStr">
        <is>
          <t>Prior year YTD included $218K subcontract cost at a −70% gross margin; 2026 has no subcontract activity.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CVR Engineering — Balance Sheet, 6/30/2026 (all figures $)</t>
        </is>
      </c>
    </row>
    <row r="2">
      <c r="A2" s="2" t="inlineStr">
        <is>
          <t>Source: data/CVR_Financial_Statements_2026-06-30.pdf</t>
        </is>
      </c>
    </row>
    <row r="4">
      <c r="A4" s="4" t="inlineStr">
        <is>
          <t>Line</t>
        </is>
      </c>
      <c r="B4" s="4" t="inlineStr">
        <is>
          <t>Current</t>
        </is>
      </c>
      <c r="C4" s="4" t="inlineStr">
        <is>
          <t>One Year Ago</t>
        </is>
      </c>
      <c r="D4" s="4" t="inlineStr">
        <is>
          <t>Annual Budget</t>
        </is>
      </c>
    </row>
    <row r="5">
      <c r="A5" s="3" t="inlineStr">
        <is>
          <t>ASSETS</t>
        </is>
      </c>
    </row>
    <row r="6">
      <c r="A6" t="inlineStr">
        <is>
          <t>Accounts Receivable-Trade</t>
        </is>
      </c>
      <c r="B6" s="11" t="n">
        <v>139807</v>
      </c>
      <c r="C6" s="11" t="n">
        <v>46065</v>
      </c>
      <c r="D6" s="11" t="n">
        <v>30000</v>
      </c>
    </row>
    <row r="7">
      <c r="A7" t="inlineStr">
        <is>
          <t>Prepaid Expenses</t>
        </is>
      </c>
      <c r="B7" s="11" t="n">
        <v>2000</v>
      </c>
      <c r="C7" s="11" t="n">
        <v>0</v>
      </c>
      <c r="D7" s="11" t="n">
        <v>6000</v>
      </c>
    </row>
    <row r="8">
      <c r="A8" s="3" t="inlineStr">
        <is>
          <t>Total Current Assets</t>
        </is>
      </c>
      <c r="B8" s="28" t="n">
        <v>141807</v>
      </c>
      <c r="C8" s="28" t="n">
        <v>46065</v>
      </c>
      <c r="D8" s="28" t="n">
        <v>36000</v>
      </c>
    </row>
    <row r="9">
      <c r="A9" t="inlineStr">
        <is>
          <t>Fixed / ROU / Other Assets</t>
        </is>
      </c>
      <c r="B9" s="11" t="n">
        <v>0</v>
      </c>
      <c r="C9" s="11" t="n">
        <v>0</v>
      </c>
      <c r="D9" s="11" t="n">
        <v>0</v>
      </c>
    </row>
    <row r="10">
      <c r="A10" s="3" t="inlineStr">
        <is>
          <t>Total Assets</t>
        </is>
      </c>
      <c r="B10" s="28" t="n">
        <v>141807</v>
      </c>
      <c r="C10" s="28" t="n">
        <v>46065</v>
      </c>
      <c r="D10" s="28" t="n">
        <v>36000</v>
      </c>
    </row>
    <row r="11">
      <c r="A11" s="3" t="inlineStr">
        <is>
          <t>LIABILITIES</t>
        </is>
      </c>
    </row>
    <row r="12">
      <c r="A12" t="inlineStr">
        <is>
          <t>Accounts Payable</t>
        </is>
      </c>
      <c r="B12" s="11" t="n">
        <v>0</v>
      </c>
      <c r="C12" s="11" t="n">
        <v>340</v>
      </c>
      <c r="D12" s="11" t="n">
        <v>0</v>
      </c>
    </row>
    <row r="13">
      <c r="A13" t="inlineStr">
        <is>
          <t>Accrued Payroll</t>
        </is>
      </c>
      <c r="B13" s="11" t="n">
        <v>19598</v>
      </c>
      <c r="C13" s="11" t="n">
        <v>28388</v>
      </c>
      <c r="D13" s="11" t="n">
        <v>40000</v>
      </c>
    </row>
    <row r="14">
      <c r="A14" t="inlineStr">
        <is>
          <t>Accrued PTO</t>
        </is>
      </c>
      <c r="B14" s="11" t="n">
        <v>14049</v>
      </c>
      <c r="C14" s="11" t="n">
        <v>0</v>
      </c>
      <c r="D14" s="11" t="n">
        <v>10000</v>
      </c>
    </row>
    <row r="15">
      <c r="A15" t="inlineStr">
        <is>
          <t>Accrued Bonus</t>
        </is>
      </c>
      <c r="B15" s="11" t="n">
        <v>0</v>
      </c>
      <c r="C15" s="11" t="n">
        <v>38508</v>
      </c>
      <c r="D15" s="11" t="n">
        <v>54740</v>
      </c>
    </row>
    <row r="16">
      <c r="A16" t="inlineStr">
        <is>
          <t>Accrued Insurance Payable</t>
        </is>
      </c>
      <c r="B16" s="11" t="n">
        <v>-19465</v>
      </c>
      <c r="C16" s="11" t="n">
        <v>-14099</v>
      </c>
      <c r="D16" s="11" t="n">
        <v>-5000</v>
      </c>
    </row>
    <row r="17">
      <c r="A17" t="inlineStr">
        <is>
          <t>Accrued Health Insurance Payable</t>
        </is>
      </c>
      <c r="B17" s="11" t="n">
        <v>7373</v>
      </c>
      <c r="C17" s="11" t="n">
        <v>2635</v>
      </c>
      <c r="D17" s="11" t="n">
        <v>5000</v>
      </c>
    </row>
    <row r="18">
      <c r="A18" t="inlineStr">
        <is>
          <t>Accrued Interest Payable</t>
        </is>
      </c>
      <c r="B18" s="11" t="n">
        <v>16104</v>
      </c>
      <c r="C18" s="11" t="n">
        <v>16681</v>
      </c>
      <c r="D18" s="11" t="n">
        <v>0</v>
      </c>
    </row>
    <row r="19">
      <c r="A19" t="inlineStr">
        <is>
          <t>Accrued Pension</t>
        </is>
      </c>
      <c r="B19" s="11" t="n">
        <v>13459</v>
      </c>
      <c r="C19" s="11" t="n">
        <v>32339</v>
      </c>
      <c r="D19" s="11" t="n">
        <v>15000</v>
      </c>
    </row>
    <row r="20">
      <c r="A20" t="inlineStr">
        <is>
          <t>Payroll Withholdings &amp; Taxes Payable</t>
        </is>
      </c>
      <c r="B20" s="11" t="n">
        <v>1426</v>
      </c>
      <c r="C20" s="11" t="n">
        <v>2105</v>
      </c>
      <c r="D20" s="11" t="n">
        <v>2000</v>
      </c>
    </row>
    <row r="21">
      <c r="A21" s="3" t="inlineStr">
        <is>
          <t>Total Current Liabilities</t>
        </is>
      </c>
      <c r="B21" s="28" t="n">
        <v>52544</v>
      </c>
      <c r="C21" s="28" t="n">
        <v>106898</v>
      </c>
      <c r="D21" s="28" t="n">
        <v>121740</v>
      </c>
    </row>
    <row r="22">
      <c r="A22" t="inlineStr">
        <is>
          <t>Note Payable Parent</t>
        </is>
      </c>
      <c r="B22" s="11" t="n">
        <v>3436622</v>
      </c>
      <c r="C22" s="11" t="n">
        <v>3401478</v>
      </c>
      <c r="D22" s="11" t="n">
        <v>2801685</v>
      </c>
    </row>
    <row r="23">
      <c r="A23" s="3" t="inlineStr">
        <is>
          <t>Total Liabilities</t>
        </is>
      </c>
      <c r="B23" s="28" t="n">
        <v>3489166</v>
      </c>
      <c r="C23" s="28" t="n">
        <v>3508376</v>
      </c>
      <c r="D23" s="28" t="n">
        <v>2923425</v>
      </c>
    </row>
    <row r="24">
      <c r="A24" s="3" t="inlineStr">
        <is>
          <t>EQUITY</t>
        </is>
      </c>
    </row>
    <row r="25">
      <c r="A25" t="inlineStr">
        <is>
          <t>Paid In Surplus</t>
        </is>
      </c>
      <c r="B25" s="11" t="n">
        <v>500</v>
      </c>
      <c r="C25" s="11" t="n">
        <v>500</v>
      </c>
      <c r="D25" s="11" t="n">
        <v>500</v>
      </c>
    </row>
    <row r="26">
      <c r="A26" t="inlineStr">
        <is>
          <t>Retained Earnings</t>
        </is>
      </c>
      <c r="B26" s="11" t="n">
        <v>-3027323</v>
      </c>
      <c r="C26" s="11" t="n">
        <v>-2540270</v>
      </c>
      <c r="D26" s="11" t="n">
        <v>-3027324</v>
      </c>
    </row>
    <row r="27">
      <c r="A27" t="inlineStr">
        <is>
          <t>Net Income</t>
        </is>
      </c>
      <c r="B27" s="11" t="n">
        <v>-320537</v>
      </c>
      <c r="C27" s="11" t="n">
        <v>-922542</v>
      </c>
      <c r="D27" s="11" t="n">
        <v>139399</v>
      </c>
    </row>
    <row r="28">
      <c r="A28" s="3" t="inlineStr">
        <is>
          <t>Total Shareholders' Equity</t>
        </is>
      </c>
      <c r="B28" s="28" t="n">
        <v>-3347360</v>
      </c>
      <c r="C28" s="28" t="n">
        <v>-3462311</v>
      </c>
      <c r="D28" s="28" t="n">
        <v>-2887425</v>
      </c>
    </row>
    <row r="29">
      <c r="A29" s="3" t="inlineStr">
        <is>
          <t>Total Liabilities &amp; Equity</t>
        </is>
      </c>
      <c r="B29" s="28" t="n">
        <v>141807</v>
      </c>
      <c r="C29" s="28" t="n">
        <v>46065</v>
      </c>
      <c r="D29" s="28" t="n">
        <v>36000</v>
      </c>
    </row>
    <row r="31">
      <c r="A31" s="2" t="inlineStr">
        <is>
          <t>CVR holds no cash, fixed assets, or leases — the balance sheet is essentially AR funded by the parent note.</t>
        </is>
      </c>
    </row>
    <row r="32">
      <c r="A32" s="2" t="inlineStr">
        <is>
          <t>Cumulative deficit: retained earnings −$3.03M plus current-year loss = equity of −$3.35M. This is the</t>
        </is>
      </c>
    </row>
    <row r="33">
      <c r="A33" s="2" t="inlineStr">
        <is>
          <t>historic cost of running engineering as a loss-leader, quantified — and the baseline the turnaround is measured against.</t>
        </is>
      </c>
    </row>
    <row r="34">
      <c r="A34" s="2" t="inlineStr">
        <is>
          <t>AR tripled year-over-year ($46K → $140K), consistent with growing external billing activity.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4" customWidth="1" min="4" max="4"/>
  </cols>
  <sheetData>
    <row r="1">
      <c r="A1" s="1" t="inlineStr">
        <is>
          <t>Six-Month Cash Flow Summary and Sales by Customer (all figures $)</t>
        </is>
      </c>
    </row>
    <row r="2">
      <c r="A2" s="2" t="inlineStr">
        <is>
          <t>Source: data/CVR_Financial_Statements_2026-06-30.pdf</t>
        </is>
      </c>
    </row>
    <row r="4">
      <c r="A4" s="4" t="inlineStr">
        <is>
          <t>Cash flow line</t>
        </is>
      </c>
      <c r="B4" s="4" t="inlineStr">
        <is>
          <t>Actual thru 6/30/26</t>
        </is>
      </c>
      <c r="C4" s="4" t="inlineStr">
        <is>
          <t>Budget thru 12/31/26</t>
        </is>
      </c>
    </row>
    <row r="5">
      <c r="A5" t="inlineStr">
        <is>
          <t>Net Income / (Loss)</t>
        </is>
      </c>
      <c r="B5" s="11" t="n">
        <v>-320537</v>
      </c>
      <c r="C5" s="11" t="n">
        <v>139399</v>
      </c>
    </row>
    <row r="6">
      <c r="A6" t="inlineStr">
        <is>
          <t>Δ Accounts Receivable-Billed</t>
        </is>
      </c>
      <c r="B6" s="11" t="n">
        <v>-98921</v>
      </c>
      <c r="C6" s="11" t="n">
        <v>10886</v>
      </c>
    </row>
    <row r="7">
      <c r="A7" t="inlineStr">
        <is>
          <t>Δ Prepaid Expenses</t>
        </is>
      </c>
      <c r="B7" s="11" t="n">
        <v>4000</v>
      </c>
      <c r="C7" s="11" t="n">
        <v>0</v>
      </c>
    </row>
    <row r="8">
      <c r="A8" t="inlineStr">
        <is>
          <t>Δ Accrued Expenses</t>
        </is>
      </c>
      <c r="B8" s="11" t="n">
        <v>-61697</v>
      </c>
      <c r="C8" s="11" t="n">
        <v>7497</v>
      </c>
    </row>
    <row r="9">
      <c r="A9" s="3" t="inlineStr">
        <is>
          <t>Net Cash from Operating Activities</t>
        </is>
      </c>
      <c r="B9" s="28" t="n">
        <v>-477155</v>
      </c>
      <c r="C9" s="28" t="n">
        <v>157782</v>
      </c>
    </row>
    <row r="10">
      <c r="A10" t="inlineStr">
        <is>
          <t>Net Increase/(Decrease) to Note Payable-USC</t>
        </is>
      </c>
      <c r="B10" s="11" t="n">
        <v>477155</v>
      </c>
      <c r="C10" s="11" t="n">
        <v>-157782</v>
      </c>
    </row>
    <row r="11">
      <c r="A11" s="3" t="inlineStr">
        <is>
          <t>Net Change in Cash</t>
        </is>
      </c>
      <c r="B11" s="28" t="n">
        <v>0</v>
      </c>
      <c r="C11" s="28" t="n">
        <v>0</v>
      </c>
    </row>
    <row r="13">
      <c r="A13" s="2" t="inlineStr">
        <is>
          <t>Every operating dollar CVR consumes is funded by drawing on the USC parent note — $477K drawn in six months. The full-year budget expects a $158K paydown, which requires the budgeted H2 swing to +$139K net income.</t>
        </is>
      </c>
    </row>
    <row r="15">
      <c r="A15" s="3" t="inlineStr">
        <is>
          <t>SALES BY CUSTOMER — YTD 6/30/2026</t>
        </is>
      </c>
    </row>
    <row r="16">
      <c r="A16" s="4" t="inlineStr">
        <is>
          <t>Customer</t>
        </is>
      </c>
      <c r="B16" s="4" t="inlineStr">
        <is>
          <t>Sales $</t>
        </is>
      </c>
      <c r="C16" s="4" t="inlineStr">
        <is>
          <t>% of total</t>
        </is>
      </c>
      <c r="D16" s="4" t="inlineStr">
        <is>
          <t>Type</t>
        </is>
      </c>
    </row>
    <row r="17">
      <c r="A17" s="5" t="inlineStr">
        <is>
          <t>CenterPoint Energy (job 017-0001)</t>
        </is>
      </c>
      <c r="B17" s="11" t="n">
        <v>383956</v>
      </c>
      <c r="C17" s="10">
        <f>B17/$B$24</f>
        <v/>
      </c>
      <c r="D17" s="7" t="inlineStr">
        <is>
          <t>external</t>
        </is>
      </c>
    </row>
    <row r="18">
      <c r="A18" s="5" t="inlineStr">
        <is>
          <t>Hydaker Wheatlake — DTE-New Baltimore (001-0003)</t>
        </is>
      </c>
      <c r="B18" s="11" t="n">
        <v>40187</v>
      </c>
      <c r="C18" s="10">
        <f>B18/$B$24</f>
        <v/>
      </c>
      <c r="D18" s="7" t="inlineStr">
        <is>
          <t>intercompany</t>
        </is>
      </c>
    </row>
    <row r="19">
      <c r="A19" s="5" t="inlineStr">
        <is>
          <t>Hydaker Wheatlake — CE HVD Pole Replacement (005-0004)</t>
        </is>
      </c>
      <c r="B19" s="11" t="n">
        <v>71268</v>
      </c>
      <c r="C19" s="10">
        <f>B19/$B$24</f>
        <v/>
      </c>
      <c r="D19" s="7" t="inlineStr">
        <is>
          <t>intercompany</t>
        </is>
      </c>
    </row>
    <row r="20">
      <c r="A20" s="5" t="inlineStr">
        <is>
          <t>Ambor Structures (022-0003)</t>
        </is>
      </c>
      <c r="B20" s="11" t="n">
        <v>19200</v>
      </c>
      <c r="C20" s="10">
        <f>B20/$B$24</f>
        <v/>
      </c>
      <c r="D20" s="7" t="inlineStr">
        <is>
          <t>external</t>
        </is>
      </c>
    </row>
    <row r="21">
      <c r="A21" s="5" t="inlineStr">
        <is>
          <t>Steuben County REMC (019-0001)</t>
        </is>
      </c>
      <c r="B21" s="11" t="n">
        <v>15300</v>
      </c>
      <c r="C21" s="10">
        <f>B21/$B$24</f>
        <v/>
      </c>
      <c r="D21" s="7" t="inlineStr">
        <is>
          <t>external</t>
        </is>
      </c>
    </row>
    <row r="22">
      <c r="A22" s="5" t="inlineStr">
        <is>
          <t>Great Lakes Energy (021-0001)</t>
        </is>
      </c>
      <c r="B22" s="11" t="n">
        <v>13377</v>
      </c>
      <c r="C22" s="10">
        <f>B22/$B$24</f>
        <v/>
      </c>
      <c r="D22" s="7" t="inlineStr">
        <is>
          <t>external</t>
        </is>
      </c>
    </row>
    <row r="23">
      <c r="A23" s="5" t="inlineStr">
        <is>
          <t>Kokosing Industrial (005-0001)</t>
        </is>
      </c>
      <c r="B23" s="11" t="n">
        <v>7725</v>
      </c>
      <c r="C23" s="10">
        <f>B23/$B$24</f>
        <v/>
      </c>
      <c r="D23" s="7" t="inlineStr">
        <is>
          <t>external</t>
        </is>
      </c>
    </row>
    <row r="24">
      <c r="A24" s="3" t="inlineStr">
        <is>
          <t>Total</t>
        </is>
      </c>
      <c r="B24" s="28">
        <f>SUM(B17:B23)</f>
        <v/>
      </c>
    </row>
    <row r="25">
      <c r="A25" t="inlineStr">
        <is>
          <t>Intercompany (HWC) share</t>
        </is>
      </c>
      <c r="B25" s="26">
        <f>(B18+B19)/B24</f>
        <v/>
      </c>
    </row>
    <row r="26">
      <c r="A26" t="inlineStr">
        <is>
          <t>CenterPoint share</t>
        </is>
      </c>
      <c r="B26" s="26">
        <f>B17/B24</f>
        <v/>
      </c>
    </row>
    <row r="28">
      <c r="A28" s="2" t="inlineStr">
        <is>
          <t>Answers a Phase-1 question: CVR hours on HWC jobs ARE revenue-credited as intercompany sales (~20% of YTD revenue). CenterPoint is ~70% of revenue — matching its ~70% share of billable hours.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HWC EPC — Baseline, January–May 2026 (all figures $K)</t>
        </is>
      </c>
    </row>
    <row r="2">
      <c r="A2" s="2" t="inlineStr">
        <is>
          <t>Context for the engineering P&amp;L: design quality and constructability directly affect these outcomes.</t>
        </is>
      </c>
    </row>
    <row r="4">
      <c r="A4" s="4" t="inlineStr">
        <is>
          <t>HWC EPC ($K)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YTD</t>
        </is>
      </c>
    </row>
    <row r="5">
      <c r="A5" s="3" t="inlineStr">
        <is>
          <t>Revenue</t>
        </is>
      </c>
      <c r="B5" s="23" t="n">
        <v>732.2</v>
      </c>
      <c r="C5" s="23" t="n">
        <v>207.7</v>
      </c>
      <c r="D5" s="23" t="n">
        <v>-321</v>
      </c>
      <c r="E5" s="23" t="n">
        <v>-125.1</v>
      </c>
      <c r="F5" s="23" t="n">
        <v>678.6</v>
      </c>
      <c r="G5" s="24">
        <f>SUM(B5:F5)</f>
        <v/>
      </c>
    </row>
    <row r="6">
      <c r="A6" s="3" t="inlineStr">
        <is>
          <t>Net Profit / (Loss)</t>
        </is>
      </c>
      <c r="B6" s="23" t="n">
        <v>-318.3</v>
      </c>
      <c r="C6" s="23" t="n">
        <v>-346.9</v>
      </c>
      <c r="D6" s="23" t="n">
        <v>-672.8</v>
      </c>
      <c r="E6" s="23" t="n">
        <v>-656.5</v>
      </c>
      <c r="F6" s="23" t="n">
        <v>-114.8</v>
      </c>
      <c r="G6" s="24">
        <f>SUM(B6:F6)</f>
        <v/>
      </c>
    </row>
    <row r="7">
      <c r="A7" t="inlineStr">
        <is>
          <t>Net margin % (YTD)</t>
        </is>
      </c>
      <c r="G7" s="26">
        <f>G6/G5</f>
        <v/>
      </c>
    </row>
    <row r="9">
      <c r="A9" s="2" t="inlineStr">
        <is>
          <t>Negative revenue in March and April are billing adjustments/write-downs per the KPI report charts.</t>
        </is>
      </c>
    </row>
    <row r="10">
      <c r="A10" s="2" t="inlineStr">
        <is>
          <t>Active EPC scorecard jobs (7/11/2026): 4 substation projects, PO $4.3M–$6.6M, plan margins 12.7%–16.4%,</t>
        </is>
      </c>
    </row>
    <row r="11">
      <c r="A11" s="2" t="inlineStr">
        <is>
          <t>cost variance +3.6% to −19.8%. Engineering share of paired EPC pursuits runs ~4–5% of EPC job value.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Realization Analysis — where does the rate card go?</t>
        </is>
      </c>
    </row>
    <row r="2">
      <c r="A2" s="2" t="inlineStr">
        <is>
          <t>Compares billable-hour value at card rates against GL revenue through 6/30, plus the labor-multiplier view.</t>
        </is>
      </c>
    </row>
    <row r="4">
      <c r="A4" s="4" t="inlineStr">
        <is>
          <t>Step</t>
        </is>
      </c>
      <c r="B4" s="4" t="inlineStr">
        <is>
          <t>Value</t>
        </is>
      </c>
      <c r="C4" s="4" t="inlineStr">
        <is>
          <t>Source / formula</t>
        </is>
      </c>
    </row>
    <row r="5">
      <c r="A5" s="5" t="inlineStr">
        <is>
          <t>Billable hours YTD (through 7/11)</t>
        </is>
      </c>
      <c r="B5" s="13">
        <f>'Roster &amp; Hours'!I18</f>
        <v/>
      </c>
      <c r="C5" s="7" t="inlineStr">
        <is>
          <t>Roster &amp; Hours total (KPI report: 4,747)</t>
        </is>
      </c>
    </row>
    <row r="6">
      <c r="A6" s="5" t="inlineStr">
        <is>
          <t>Adjustment factor to June 30</t>
        </is>
      </c>
      <c r="B6" s="31">
        <f>Assumptions!B8</f>
        <v/>
      </c>
      <c r="C6" s="7" t="inlineStr">
        <is>
          <t>Assumptions — aligns hours window to the GL period</t>
        </is>
      </c>
    </row>
    <row r="7">
      <c r="A7" s="5" t="inlineStr">
        <is>
          <t>Est. billable hours, Jan–Jun</t>
        </is>
      </c>
      <c r="B7" s="13">
        <f>B5*B6</f>
        <v/>
      </c>
      <c r="C7" s="7" t="inlineStr">
        <is>
          <t>calc</t>
        </is>
      </c>
    </row>
    <row r="8">
      <c r="A8" s="5" t="inlineStr">
        <is>
          <t>Blended card rate ($/hr)</t>
        </is>
      </c>
      <c r="B8" s="12">
        <f>'Roster &amp; Hours'!D18</f>
        <v/>
      </c>
      <c r="C8" s="7" t="inlineStr">
        <is>
          <t>mix-weighted from actual billable hours</t>
        </is>
      </c>
    </row>
    <row r="9">
      <c r="A9" s="5" t="inlineStr">
        <is>
          <t>Value at card rates, Jan–Jun ($K)</t>
        </is>
      </c>
      <c r="B9" s="23">
        <f>B7*B8/1000</f>
        <v/>
      </c>
      <c r="C9" s="7" t="inlineStr">
        <is>
          <t>calc</t>
        </is>
      </c>
    </row>
    <row r="10">
      <c r="A10" s="5" t="inlineStr">
        <is>
          <t>Actual revenue, Jan–Jun ($K)</t>
        </is>
      </c>
      <c r="B10" s="23">
        <f>'GL Income Stmt'!E5/1000</f>
        <v/>
      </c>
      <c r="C10" s="7" t="inlineStr">
        <is>
          <t>GL income statement</t>
        </is>
      </c>
    </row>
    <row r="11">
      <c r="A11" s="5" t="inlineStr">
        <is>
          <t>Realization %</t>
        </is>
      </c>
      <c r="B11" s="10">
        <f>B10/B9</f>
        <v/>
      </c>
      <c r="C11" s="7" t="inlineStr">
        <is>
          <t>actual ÷ card value</t>
        </is>
      </c>
    </row>
    <row r="12">
      <c r="A12" s="5" t="inlineStr">
        <is>
          <t>Implied realized rate ($/hr)</t>
        </is>
      </c>
      <c r="B12" s="12">
        <f>B10*1000/B7</f>
        <v/>
      </c>
      <c r="C12" s="7" t="inlineStr">
        <is>
          <t>calc</t>
        </is>
      </c>
    </row>
    <row r="13">
      <c r="A13" s="5" t="inlineStr">
        <is>
          <t>Unexplained gap ($K)</t>
        </is>
      </c>
      <c r="B13" s="23">
        <f>B9-B10</f>
        <v/>
      </c>
      <c r="C13" s="7" t="inlineStr">
        <is>
          <t>to be decomposed below</t>
        </is>
      </c>
    </row>
    <row r="14">
      <c r="A14" s="5" t="inlineStr">
        <is>
          <t>Direct labor cost ($K, GL)</t>
        </is>
      </c>
      <c r="B14" s="23">
        <f>'GL Income Stmt'!E7/1000</f>
        <v/>
      </c>
      <c r="C14" s="7" t="inlineStr">
        <is>
          <t>Labor-Design Services YTD</t>
        </is>
      </c>
    </row>
    <row r="15">
      <c r="A15" s="5" t="inlineStr">
        <is>
          <t>Direct labor cost per billable hour</t>
        </is>
      </c>
      <c r="B15" s="12">
        <f>B14*1000/B7</f>
        <v/>
      </c>
      <c r="C15" s="7" t="inlineStr">
        <is>
          <t>calc</t>
        </is>
      </c>
    </row>
    <row r="16">
      <c r="A16" s="5" t="inlineStr">
        <is>
          <t>Labor multiplier — actual (rev ÷ direct labor)</t>
        </is>
      </c>
      <c r="B16" s="21">
        <f>B10/B14</f>
        <v/>
      </c>
      <c r="C16" s="7" t="inlineStr">
        <is>
          <t>GL YTD</t>
        </is>
      </c>
    </row>
    <row r="17">
      <c r="A17" s="5" t="inlineStr">
        <is>
          <t>Labor multiplier — budget</t>
        </is>
      </c>
      <c r="B17" s="21">
        <f>'GL Income Stmt'!F5/'GL Income Stmt'!F7</f>
        <v/>
      </c>
      <c r="C17" s="7" t="inlineStr">
        <is>
          <t>budget assumes 2.60x; industry-healthy is ~2.5–3.0x</t>
        </is>
      </c>
    </row>
    <row r="19">
      <c r="A19" s="3" t="inlineStr">
        <is>
          <t>Gap decomposition — fill after the finance review (must sum to the unexplained gap):</t>
        </is>
      </c>
    </row>
    <row r="20">
      <c r="A20" s="5" t="inlineStr">
        <is>
          <t>Unbilled WIP / billing lag ($K)</t>
        </is>
      </c>
      <c r="B20" s="32" t="n">
        <v>0</v>
      </c>
    </row>
    <row r="21">
      <c r="A21" s="5" t="inlineStr">
        <is>
          <t>Write-offs &amp; discounts ($K)</t>
        </is>
      </c>
      <c r="B21" s="32" t="n">
        <v>0</v>
      </c>
    </row>
    <row r="22">
      <c r="A22" s="5" t="inlineStr">
        <is>
          <t>Intercompany work at reduced rates ($K)</t>
        </is>
      </c>
      <c r="B22" s="32" t="n">
        <v>0</v>
      </c>
    </row>
    <row r="23">
      <c r="A23" s="5" t="inlineStr">
        <is>
          <t>Other / unreconciled ($K)</t>
        </is>
      </c>
      <c r="B23" s="32" t="n">
        <v>0</v>
      </c>
    </row>
    <row r="24">
      <c r="A24" t="inlineStr">
        <is>
          <t>Decomposition vs gap</t>
        </is>
      </c>
      <c r="B24" s="33">
        <f>SUM(B20:B23)-B13</f>
        <v/>
      </c>
      <c r="C24" s="2" t="inlineStr">
        <is>
          <t>should be 0 when fully explained</t>
        </is>
      </c>
    </row>
    <row r="27">
      <c r="A27" s="3" t="inlineStr">
        <is>
          <t>Annualized revenue grid ($K) — current roster, utilization × realization</t>
        </is>
      </c>
    </row>
    <row r="28">
      <c r="A28" s="2" t="inlineStr">
        <is>
          <t>Utilization ↓ / Realization →</t>
        </is>
      </c>
      <c r="B28" s="34" t="n">
        <v>0.6</v>
      </c>
      <c r="C28" s="34" t="n">
        <v>0.75</v>
      </c>
      <c r="D28" s="34" t="n">
        <v>0.9</v>
      </c>
      <c r="E28" s="34" t="n">
        <v>1</v>
      </c>
    </row>
    <row r="29">
      <c r="A29" s="34" t="n">
        <v>0.59</v>
      </c>
      <c r="B29" s="35">
        <f>Assumptions!B7*Assumptions!B5*$A29*B$28*$B$8/1000</f>
        <v/>
      </c>
      <c r="C29" s="35">
        <f>Assumptions!B7*Assumptions!B5*$A29*C$28*$B$8/1000</f>
        <v/>
      </c>
      <c r="D29" s="35">
        <f>Assumptions!B7*Assumptions!B5*$A29*D$28*$B$8/1000</f>
        <v/>
      </c>
      <c r="E29" s="35">
        <f>Assumptions!B7*Assumptions!B5*$A29*E$28*$B$8/1000</f>
        <v/>
      </c>
    </row>
    <row r="30">
      <c r="A30" s="34" t="n">
        <v>0.65</v>
      </c>
      <c r="B30" s="35">
        <f>Assumptions!B7*Assumptions!B5*$A30*B$28*$B$8/1000</f>
        <v/>
      </c>
      <c r="C30" s="35">
        <f>Assumptions!B7*Assumptions!B5*$A30*C$28*$B$8/1000</f>
        <v/>
      </c>
      <c r="D30" s="35">
        <f>Assumptions!B7*Assumptions!B5*$A30*D$28*$B$8/1000</f>
        <v/>
      </c>
      <c r="E30" s="35">
        <f>Assumptions!B7*Assumptions!B5*$A30*E$28*$B$8/1000</f>
        <v/>
      </c>
    </row>
    <row r="31">
      <c r="A31" s="34" t="n">
        <v>0.7</v>
      </c>
      <c r="B31" s="35">
        <f>Assumptions!B7*Assumptions!B5*$A31*B$28*$B$8/1000</f>
        <v/>
      </c>
      <c r="C31" s="35">
        <f>Assumptions!B7*Assumptions!B5*$A31*C$28*$B$8/1000</f>
        <v/>
      </c>
      <c r="D31" s="35">
        <f>Assumptions!B7*Assumptions!B5*$A31*D$28*$B$8/1000</f>
        <v/>
      </c>
      <c r="E31" s="35">
        <f>Assumptions!B7*Assumptions!B5*$A31*E$28*$B$8/1000</f>
        <v/>
      </c>
    </row>
    <row r="32">
      <c r="A32" s="34" t="n">
        <v>0.75</v>
      </c>
      <c r="B32" s="35">
        <f>Assumptions!B7*Assumptions!B5*$A32*B$28*$B$8/1000</f>
        <v/>
      </c>
      <c r="C32" s="35">
        <f>Assumptions!B7*Assumptions!B5*$A32*C$28*$B$8/1000</f>
        <v/>
      </c>
      <c r="D32" s="35">
        <f>Assumptions!B7*Assumptions!B5*$A32*D$28*$B$8/1000</f>
        <v/>
      </c>
      <c r="E32" s="35">
        <f>Assumptions!B7*Assumptions!B5*$A32*E$28*$B$8/1000</f>
        <v/>
      </c>
    </row>
    <row r="34">
      <c r="A34" s="2" t="inlineStr">
        <is>
          <t>Grid = active billable FTEs × hrs/FTE-yr × utilization × realization × blended card rate, in $K.</t>
        </is>
      </c>
    </row>
    <row r="35">
      <c r="A35" s="2" t="inlineStr">
        <is>
          <t>Bottom-right cell (75% util, 100% realization) is the current-roster ceiling; compare against the $6,000K</t>
        </is>
      </c>
    </row>
    <row r="36">
      <c r="A36" s="2" t="inlineStr">
        <is>
          <t>Year-2 goal to size the hiring plan (Phase 2).</t>
        </is>
      </c>
    </row>
    <row r="37">
      <c r="A37" s="2" t="inlineStr">
        <is>
          <t>Multiplier view: budget expects 2.60x revenue per direct-labor dollar; actual is running ~1.29x. Both</t>
        </is>
      </c>
    </row>
    <row r="38">
      <c r="A38" s="2" t="inlineStr">
        <is>
          <t>realization (price) and labor cost per billable hour feed this — salary data will separate the two.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Tie-outs across the KPI report and GL statements, and open questions</t>
        </is>
      </c>
    </row>
    <row r="4">
      <c r="A4" s="4" t="inlineStr">
        <is>
          <t>Check</t>
        </is>
      </c>
      <c r="B4" s="4" t="inlineStr">
        <is>
          <t>Model</t>
        </is>
      </c>
      <c r="C4" s="4" t="inlineStr">
        <is>
          <t>Source</t>
        </is>
      </c>
      <c r="D4" s="4" t="inlineStr">
        <is>
          <t>Status</t>
        </is>
      </c>
    </row>
    <row r="5">
      <c r="A5" s="5" t="inlineStr">
        <is>
          <t>CVR revenue YTD Jun ($K) vs GL</t>
        </is>
      </c>
      <c r="B5" s="23">
        <f>'Baseline P&amp;L'!H5</f>
        <v/>
      </c>
      <c r="C5" s="23" t="n">
        <v>551</v>
      </c>
      <c r="D5" s="5">
        <f>IF(ABS(B5-C5)&lt;=1.0,"TIES","CHECK")</f>
        <v/>
      </c>
    </row>
    <row r="6">
      <c r="A6" s="5" t="inlineStr">
        <is>
          <t>CVR gross profit YTD Jun ($K) vs GL</t>
        </is>
      </c>
      <c r="B6" s="23">
        <f>'Baseline P&amp;L'!H7</f>
        <v/>
      </c>
      <c r="C6" s="23" t="n">
        <v>122.5</v>
      </c>
      <c r="D6" s="5">
        <f>IF(ABS(B6-C6)&lt;=1.0,"TIES","CHECK")</f>
        <v/>
      </c>
    </row>
    <row r="7">
      <c r="A7" s="5" t="inlineStr">
        <is>
          <t>CVR net income YTD Jun ($K) vs GL</t>
        </is>
      </c>
      <c r="B7" s="23">
        <f>'Baseline P&amp;L'!H10</f>
        <v/>
      </c>
      <c r="C7" s="23" t="n">
        <v>-320.5</v>
      </c>
      <c r="D7" s="5">
        <f>IF(ABS(B7-C7)&lt;=1.0,"TIES","CHECK")</f>
        <v/>
      </c>
    </row>
    <row r="8">
      <c r="A8" s="5" t="inlineStr">
        <is>
          <t>KPI Jan–May revenue ($K) vs GL (YTD−Jun)</t>
        </is>
      </c>
      <c r="B8" s="23">
        <f>SUM('Baseline P&amp;L'!B5:F5)</f>
        <v/>
      </c>
      <c r="C8" s="23" t="n">
        <v>426.7</v>
      </c>
      <c r="D8" s="5">
        <f>IF(ABS(B8-C8)&lt;=1.0,"TIES","CHECK")</f>
        <v/>
      </c>
    </row>
    <row r="9">
      <c r="A9" s="5" t="inlineStr">
        <is>
          <t>KPI Jan–May net income ($K) vs GL (YTD−Jun)</t>
        </is>
      </c>
      <c r="B9" s="23">
        <f>SUM('Baseline P&amp;L'!B10:F10)</f>
        <v/>
      </c>
      <c r="C9" s="23" t="n">
        <v>-304.7</v>
      </c>
      <c r="D9" s="5">
        <f>IF(ABS(B9-C9)&lt;=1.0,"TIES","CHECK")</f>
        <v/>
      </c>
    </row>
    <row r="10">
      <c r="A10" s="5" t="inlineStr">
        <is>
          <t>Sales by customer sums to GL revenue ($)</t>
        </is>
      </c>
      <c r="B10" s="11">
        <f>'Cash Flow &amp; Customers'!B24</f>
        <v/>
      </c>
      <c r="C10" s="11" t="n">
        <v>551013</v>
      </c>
      <c r="D10" s="5">
        <f>IF(ABS(B10-C10)&lt;=2,"TIES","CHECK")</f>
        <v/>
      </c>
    </row>
    <row r="11">
      <c r="A11" s="5" t="inlineStr">
        <is>
          <t>Balance sheet balances (assets = L+E, $)</t>
        </is>
      </c>
      <c r="B11" s="11">
        <f>'Balance Sheet'!B10</f>
        <v/>
      </c>
      <c r="C11" s="11" t="n">
        <v>141807</v>
      </c>
      <c r="D11" s="5">
        <f>IF(ABS(B11-C11)&lt;=1,"TIES","CHECK")</f>
        <v/>
      </c>
    </row>
    <row r="12">
      <c r="A12" s="5" t="inlineStr">
        <is>
          <t>EPC revenue YTD May ($K)</t>
        </is>
      </c>
      <c r="B12" s="23">
        <f>'HWC EPC Baseline'!G5</f>
        <v/>
      </c>
      <c r="C12" s="23" t="n">
        <v>1172.4</v>
      </c>
      <c r="D12" s="5">
        <f>IF(ABS(B12-C12)&lt;=1.0,"TIES","CHECK")</f>
        <v/>
      </c>
    </row>
    <row r="13">
      <c r="A13" s="5" t="inlineStr">
        <is>
          <t>EPC net profit YTD May ($K)</t>
        </is>
      </c>
      <c r="B13" s="23">
        <f>'HWC EPC Baseline'!G6</f>
        <v/>
      </c>
      <c r="C13" s="23" t="n">
        <v>-2109.3</v>
      </c>
      <c r="D13" s="5">
        <f>IF(ABS(B13-C13)&lt;=1.0,"TIES","CHECK")</f>
        <v/>
      </c>
    </row>
    <row r="14">
      <c r="A14" s="5" t="inlineStr">
        <is>
          <t>Billable hours YTD</t>
        </is>
      </c>
      <c r="B14" s="23">
        <f>'Roster &amp; Hours'!I18</f>
        <v/>
      </c>
      <c r="C14" s="23" t="n">
        <v>4747</v>
      </c>
      <c r="D14" s="5">
        <f>IF(ABS(B14-C14)&lt;=60,"TIES","CHECK")</f>
        <v/>
      </c>
    </row>
    <row r="15">
      <c r="A15" s="2" t="inlineStr">
        <is>
          <t>Billable-hours tolerance is wider: ~193 hrs on the KPI page are not attributed to a named employee.</t>
        </is>
      </c>
    </row>
    <row r="17">
      <c r="A17" s="3" t="inlineStr">
        <is>
          <t>ANSWERED BY THE 6/30 GL STATEMENTS</t>
        </is>
      </c>
    </row>
    <row r="18">
      <c r="A18" t="inlineStr">
        <is>
          <t>✓ Corporate overhead allocation: $17,250/month flat ($103,500 YTD), same in budget.</t>
        </is>
      </c>
    </row>
    <row r="19">
      <c r="A19" t="inlineStr">
        <is>
          <t>✓ Interest basis: ~$5K/month accruing on the $3.44M Note Payable-Parent; not budgeted.</t>
        </is>
      </c>
    </row>
    <row r="20">
      <c r="A20" t="inlineStr">
        <is>
          <t>✓ Intercompany treatment: CVR hours on HWC jobs are revenue-credited as intercompany sales (~20% of YTD revenue).</t>
        </is>
      </c>
    </row>
    <row r="21">
      <c r="A21" t="inlineStr">
        <is>
          <t>✓ Employment burden: ~33.8% of total wages, computed from GL burden lines (refine with salary detail).</t>
        </is>
      </c>
    </row>
    <row r="22">
      <c r="A22" t="inlineStr">
        <is>
          <t>✓ Subcontract usage: none in 2026 (PY carried $218K at a loss).</t>
        </is>
      </c>
    </row>
    <row r="23">
      <c r="A23" t="inlineStr">
        <is>
          <t>✓ Full-year budget: +$139.4K net income, requiring a strong H2 swing.</t>
        </is>
      </c>
    </row>
    <row r="25">
      <c r="A25" s="3" t="inlineStr">
        <is>
          <t>STILL OPEN (Phase 1 exit criteria)</t>
        </is>
      </c>
    </row>
    <row r="26">
      <c r="A26" t="inlineStr">
        <is>
          <t>• Finance: salaries by person (to split the multiplier gap between price/realization and labor cost per hour).</t>
        </is>
      </c>
    </row>
    <row r="27">
      <c r="A27" t="inlineStr">
        <is>
          <t>• Finance: what drives June's negative Labor-Indirect (−$6,078) — reclass or credit?</t>
        </is>
      </c>
    </row>
    <row r="28">
      <c r="A28" t="inlineStr">
        <is>
          <t>• Confirm billing classifications for Taylor Nelson and Kevin Metts (not on the org chart).</t>
        </is>
      </c>
    </row>
    <row r="29">
      <c r="A29" t="inlineStr">
        <is>
          <t>• Confirm billing classification used for VP Engineering time (assumed Principal Engineer).</t>
        </is>
      </c>
    </row>
    <row r="30">
      <c r="A30" t="inlineStr">
        <is>
          <t>• Tom Little, Erin Bryden, Patrick Nicholson show no hours on the KPI utilization page — confirm where their time goes.</t>
        </is>
      </c>
    </row>
    <row r="31">
      <c r="A31" t="inlineStr">
        <is>
          <t>• Decompose the realization gap (Realization tab) — intercompany pricing on the ~20% HWC share is the lead suspect.</t>
        </is>
      </c>
    </row>
    <row r="32">
      <c r="A32" t="inlineStr">
        <is>
          <t>• Confirm whether the intercompany rate for HWC work uses the standard card or a discounted schedule.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Charts — wired to the data tabs</t>
        </is>
      </c>
    </row>
    <row r="2">
      <c r="A2" s="2" t="inlineStr">
        <is>
          <t>Native Excel charts driven by cell values: edit the data tabs and these redraw. Data blocks feeding them start at row 40.</t>
        </is>
      </c>
    </row>
    <row r="40">
      <c r="A40" s="3" t="inlineStr">
        <is>
          <t>CHART DATA — cumulative revenue ($K)</t>
        </is>
      </c>
    </row>
    <row r="41">
      <c r="A41" t="inlineStr">
        <is>
          <t>Month</t>
        </is>
      </c>
      <c r="B41" t="inlineStr">
        <is>
          <t>Jan 26</t>
        </is>
      </c>
      <c r="C41" t="inlineStr">
        <is>
          <t>Feb 26</t>
        </is>
      </c>
      <c r="D41" t="inlineStr">
        <is>
          <t>Mar 26</t>
        </is>
      </c>
      <c r="E41" t="inlineStr">
        <is>
          <t>Apr 26</t>
        </is>
      </c>
      <c r="F41" t="inlineStr">
        <is>
          <t>May 26</t>
        </is>
      </c>
      <c r="G41" t="inlineStr">
        <is>
          <t>Jun 26</t>
        </is>
      </c>
    </row>
    <row r="42">
      <c r="A42" t="inlineStr">
        <is>
          <t>Actual (cumulative)</t>
        </is>
      </c>
      <c r="B42">
        <f>'Baseline P&amp;L'!B5</f>
        <v/>
      </c>
      <c r="C42">
        <f>B42+'Baseline P&amp;L'!C5</f>
        <v/>
      </c>
      <c r="D42">
        <f>C42+'Baseline P&amp;L'!D5</f>
        <v/>
      </c>
      <c r="E42">
        <f>D42+'Baseline P&amp;L'!E5</f>
        <v/>
      </c>
      <c r="F42">
        <f>E42+'Baseline P&amp;L'!F5</f>
        <v/>
      </c>
      <c r="G42">
        <f>F42+'Baseline P&amp;L'!G5</f>
        <v/>
      </c>
    </row>
    <row r="43">
      <c r="A43" t="inlineStr">
        <is>
          <t>Plan (cumulative)</t>
        </is>
      </c>
      <c r="B43">
        <f>'Baseline P&amp;L'!B14</f>
        <v/>
      </c>
      <c r="C43">
        <f>B43+'Baseline P&amp;L'!C14</f>
        <v/>
      </c>
      <c r="D43">
        <f>C43+'Baseline P&amp;L'!D14</f>
        <v/>
      </c>
      <c r="E43">
        <f>D43+'Baseline P&amp;L'!E14</f>
        <v/>
      </c>
      <c r="F43">
        <f>E43+'Baseline P&amp;L'!F14</f>
        <v/>
      </c>
      <c r="G43">
        <f>F43+'Baseline P&amp;L'!G14</f>
        <v/>
      </c>
    </row>
    <row r="44">
      <c r="A44" t="inlineStr">
        <is>
          <t>Prior year (pace)</t>
        </is>
      </c>
      <c r="B44" t="n">
        <v>66.5</v>
      </c>
      <c r="C44" t="n">
        <v>133</v>
      </c>
      <c r="D44" t="n">
        <v>199.6</v>
      </c>
      <c r="E44" t="n">
        <v>266.1</v>
      </c>
      <c r="F44" t="n">
        <v>332.6</v>
      </c>
      <c r="G44" t="n">
        <v>399.1</v>
      </c>
    </row>
    <row r="46">
      <c r="A46" s="3" t="inlineStr">
        <is>
          <t>CHART DATA — gross margin %</t>
        </is>
      </c>
    </row>
    <row r="47">
      <c r="A47" t="inlineStr">
        <is>
          <t>Gross margin %</t>
        </is>
      </c>
      <c r="B47" s="26">
        <f>'Baseline P&amp;L'!B8</f>
        <v/>
      </c>
      <c r="C47" s="26">
        <f>'Baseline P&amp;L'!C8</f>
        <v/>
      </c>
      <c r="D47" s="26">
        <f>'Baseline P&amp;L'!D8</f>
        <v/>
      </c>
      <c r="E47" s="26">
        <f>'Baseline P&amp;L'!E8</f>
        <v/>
      </c>
      <c r="F47" s="26">
        <f>'Baseline P&amp;L'!F8</f>
        <v/>
      </c>
      <c r="G47" s="26">
        <f>'Baseline P&amp;L'!G8</f>
        <v/>
      </c>
    </row>
    <row r="48">
      <c r="A48" t="inlineStr">
        <is>
          <t>Budget assumption</t>
        </is>
      </c>
      <c r="B48" s="26" t="n">
        <v>0.6157</v>
      </c>
      <c r="C48" s="26" t="n">
        <v>0.6157</v>
      </c>
      <c r="D48" s="26" t="n">
        <v>0.6157</v>
      </c>
      <c r="E48" s="26" t="n">
        <v>0.6157</v>
      </c>
      <c r="F48" s="26" t="n">
        <v>0.6157</v>
      </c>
      <c r="G48" s="26" t="n">
        <v>0.6157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2026-07-20T19:24:22Z</dcterms:created>
  <dcterms:modified xmlns:dcterms="http://purl.org/dc/terms/" xmlns:xsi="http://www.w3.org/2001/XMLSchema-instance" xsi:type="dcterms:W3CDTF">2026-07-20T19:24:22Z</dcterms:modified>
</cp:coreProperties>
</file>