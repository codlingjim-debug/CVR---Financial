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Assumptions" sheetId="2" state="visible" r:id="rId2"/>
    <sheet name="Rates" sheetId="3" state="visible" r:id="rId3"/>
    <sheet name="Roster &amp; Hours" sheetId="4" state="visible" r:id="rId4"/>
    <sheet name="Baseline P&amp;L" sheetId="5" state="visible" r:id="rId5"/>
    <sheet name="HWC EPC Baseline" sheetId="6" state="visible" r:id="rId6"/>
    <sheet name="Realization" sheetId="7" state="visible" r:id="rId7"/>
    <sheet name="Checks &amp; Open Items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&quot;$&quot;#,##0.00"/>
    <numFmt numFmtId="166" formatCode="#,##0.0"/>
    <numFmt numFmtId="167" formatCode="&quot;$&quot;#,##0"/>
    <numFmt numFmtId="168" formatCode="0.000"/>
  </numFmts>
  <fonts count="7">
    <font>
      <name val="Calibri"/>
      <family val="2"/>
      <color theme="1"/>
      <sz val="11"/>
      <scheme val="minor"/>
    </font>
    <font>
      <b val="1"/>
      <color rgb="001F3864"/>
      <sz val="14"/>
    </font>
    <font>
      <i val="1"/>
      <color rgb="00595959"/>
      <sz val="9"/>
    </font>
    <font>
      <b val="1"/>
      <color rgb="001F3864"/>
    </font>
    <font>
      <b val="1"/>
      <color rgb="00FFFFFF"/>
    </font>
    <font>
      <color rgb="000070C0"/>
    </font>
    <font>
      <i val="1"/>
      <color rgb="00C55A11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1" applyAlignment="1" pivotButton="0" quotePrefix="0" xfId="0">
      <alignment horizontal="center" wrapText="1"/>
    </xf>
    <xf numFmtId="0" fontId="0" fillId="0" borderId="1" pivotButton="0" quotePrefix="0" xfId="0"/>
    <xf numFmtId="3" fontId="5" fillId="0" borderId="1" pivotButton="0" quotePrefix="0" xfId="0"/>
    <xf numFmtId="0" fontId="2" fillId="0" borderId="1" pivotButton="0" quotePrefix="0" xfId="0"/>
    <xf numFmtId="164" fontId="5" fillId="0" borderId="1" pivotButton="0" quotePrefix="0" xfId="0"/>
    <xf numFmtId="0" fontId="6" fillId="0" borderId="1" pivotButton="0" quotePrefix="0" xfId="0"/>
    <xf numFmtId="165" fontId="0" fillId="0" borderId="1" pivotButton="0" quotePrefix="0" xfId="0"/>
    <xf numFmtId="166" fontId="0" fillId="0" borderId="1" pivotButton="0" quotePrefix="0" xfId="0"/>
    <xf numFmtId="164" fontId="0" fillId="0" borderId="1" pivotButton="0" quotePrefix="0" xfId="0"/>
    <xf numFmtId="167" fontId="0" fillId="0" borderId="1" pivotButton="0" quotePrefix="0" xfId="0"/>
    <xf numFmtId="0" fontId="3" fillId="3" borderId="1" pivotButton="0" quotePrefix="0" xfId="0"/>
    <xf numFmtId="0" fontId="0" fillId="3" borderId="1" pivotButton="0" quotePrefix="0" xfId="0"/>
    <xf numFmtId="165" fontId="3" fillId="3" borderId="1" pivotButton="0" quotePrefix="0" xfId="0"/>
    <xf numFmtId="166" fontId="3" fillId="3" borderId="1" pivotButton="0" quotePrefix="0" xfId="0"/>
    <xf numFmtId="167" fontId="3" fillId="3" borderId="1" pivotButton="0" quotePrefix="0" xfId="0"/>
    <xf numFmtId="166" fontId="0" fillId="3" borderId="1" pivotButton="0" quotePrefix="0" xfId="0"/>
    <xf numFmtId="0" fontId="6" fillId="0" borderId="0" pivotButton="0" quotePrefix="0" xfId="0"/>
    <xf numFmtId="164" fontId="0" fillId="0" borderId="0" pivotButton="0" quotePrefix="0" xfId="0"/>
    <xf numFmtId="168" fontId="0" fillId="0" borderId="1" pivotButton="0" quotePrefix="0" xfId="0"/>
    <xf numFmtId="166" fontId="5" fillId="0" borderId="1" pivotButton="0" quotePrefix="0" xfId="0"/>
    <xf numFmtId="166" fontId="0" fillId="0" borderId="0" pivotButton="0" quotePrefix="0" xfId="0"/>
    <xf numFmtId="164" fontId="4" fillId="2" borderId="1" pivotButton="0" quotePrefix="0" xfId="0"/>
    <xf numFmtId="3" fontId="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7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CVR Engineering — Phase 1 Baseline Model</t>
        </is>
      </c>
    </row>
    <row r="2">
      <c r="A2" s="2" t="inlineStr">
        <is>
          <t>Generated from scripts/build_phase1_workbook.py — do not hand-edit calc cells; blue cells are inputs.</t>
        </is>
      </c>
    </row>
    <row r="3">
      <c r="A3" t="inlineStr"/>
    </row>
    <row r="4">
      <c r="A4" s="3" t="inlineStr">
        <is>
          <t>PURPOSE</t>
        </is>
      </c>
    </row>
    <row r="5">
      <c r="A5" t="inlineStr">
        <is>
          <t>Phase 1 of the financial model build: a quantified current-state baseline reconciled to the</t>
        </is>
      </c>
    </row>
    <row r="6">
      <c r="A6" t="inlineStr">
        <is>
          <t>CVR &amp; EPC KPI report (week ending 7/11/2026) and the 2026 rate sheet. It answers:</t>
        </is>
      </c>
    </row>
    <row r="7">
      <c r="A7" t="inlineStr">
        <is>
          <t xml:space="preserve">  1. What did CVR actually earn and spend, January–May 2026?</t>
        </is>
      </c>
    </row>
    <row r="8">
      <c r="A8" t="inlineStr">
        <is>
          <t xml:space="preserve">  2. What is the team's capacity worth at card rates, and what share of that is being realized?</t>
        </is>
      </c>
    </row>
    <row r="9">
      <c r="A9" t="inlineStr">
        <is>
          <t xml:space="preserve">  3. What do utilization and realization have to become for the division's revenue targets?</t>
        </is>
      </c>
    </row>
    <row r="10">
      <c r="A10" t="inlineStr"/>
    </row>
    <row r="11">
      <c r="A11" s="3" t="inlineStr">
        <is>
          <t>TABS</t>
        </is>
      </c>
    </row>
    <row r="12">
      <c r="A12" t="inlineStr">
        <is>
          <t xml:space="preserve">  Assumptions        — global inputs (blue). Fringe load and overhead allocation are TBD from finance.</t>
        </is>
      </c>
    </row>
    <row r="13">
      <c r="A13" t="inlineStr">
        <is>
          <t xml:space="preserve">  Rates              — 2026 rate sheet, effective January 2026.</t>
        </is>
      </c>
    </row>
    <row r="14">
      <c r="A14" t="inlineStr">
        <is>
          <t xml:space="preserve">  Roster &amp; Hours     — people, classifications, YTD hours and utilization vs target, value at card rates.</t>
        </is>
      </c>
    </row>
    <row r="15">
      <c r="A15" t="inlineStr">
        <is>
          <t xml:space="preserve">  Baseline P&amp;L       — CVR monthly actuals vs budget, Jan–May 2026. COGS/OpEx are derived lines.</t>
        </is>
      </c>
    </row>
    <row r="16">
      <c r="A16" t="inlineStr">
        <is>
          <t xml:space="preserve">  HWC EPC Baseline   — EPC line financials for context (engineering outcomes affect this P&amp;L).</t>
        </is>
      </c>
    </row>
    <row r="17">
      <c r="A17" t="inlineStr">
        <is>
          <t xml:space="preserve">  Realization        — the $/hr gap analysis and the utilization x realization revenue grid.</t>
        </is>
      </c>
    </row>
    <row r="18">
      <c r="A18" t="inlineStr">
        <is>
          <t xml:space="preserve">  Checks &amp; Open Items— tie-outs to the KPI report and the questions finance must answer.</t>
        </is>
      </c>
    </row>
    <row r="19">
      <c r="A19" t="inlineStr"/>
    </row>
    <row r="20">
      <c r="A20" s="3" t="inlineStr">
        <is>
          <t>COLOR KEY</t>
        </is>
      </c>
    </row>
    <row r="21">
      <c r="A21" t="inlineStr">
        <is>
          <t xml:space="preserve">  Blue  = input / assumption you can change</t>
        </is>
      </c>
    </row>
    <row r="22">
      <c r="A22" t="inlineStr">
        <is>
          <t xml:space="preserve">  Black = calculated or sourced from a document</t>
        </is>
      </c>
    </row>
    <row r="23">
      <c r="A23" t="inlineStr">
        <is>
          <t xml:space="preserve">  Orange italics = assumption that needs confirmation</t>
        </is>
      </c>
    </row>
    <row r="24">
      <c r="A24" t="inlineStr"/>
    </row>
    <row r="25">
      <c r="A25" s="3" t="inlineStr">
        <is>
          <t>SOURCES</t>
        </is>
      </c>
    </row>
    <row r="26">
      <c r="A26" t="inlineStr">
        <is>
          <t xml:space="preserve">  data/CVR_Rate_Sheet_2026.pdf</t>
        </is>
      </c>
    </row>
    <row r="27">
      <c r="A27" t="inlineStr">
        <is>
          <t xml:space="preserve">  data/CVR_EPC_KPI_2026-07-11.pdf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40" customWidth="1" min="1" max="1"/>
    <col width="14" customWidth="1" min="2" max="2"/>
    <col width="80" customWidth="1" min="3" max="3"/>
  </cols>
  <sheetData>
    <row r="1">
      <c r="A1" s="1" t="inlineStr">
        <is>
          <t>Global Assumptions</t>
        </is>
      </c>
    </row>
    <row r="2">
      <c r="A2" s="2" t="inlineStr">
        <is>
          <t>Blue cells are inputs. TBD items block nothing but are flagged on Checks &amp; Open Items.</t>
        </is>
      </c>
    </row>
    <row r="4">
      <c r="A4" s="4" t="inlineStr">
        <is>
          <t>Assumption</t>
        </is>
      </c>
      <c r="B4" s="4" t="inlineStr">
        <is>
          <t>Value</t>
        </is>
      </c>
      <c r="C4" s="4" t="inlineStr">
        <is>
          <t>Notes</t>
        </is>
      </c>
    </row>
    <row r="5">
      <c r="A5" s="5" t="inlineStr">
        <is>
          <t>Standard hours per FTE-year</t>
        </is>
      </c>
      <c r="B5" s="6" t="n">
        <v>2080</v>
      </c>
      <c r="C5" s="7" t="inlineStr">
        <is>
          <t>40 hrs x 52 wks; adjust for PTO/holiday policy if preferred</t>
        </is>
      </c>
    </row>
    <row r="6">
      <c r="A6" s="5" t="inlineStr">
        <is>
          <t>Median target billable utilization</t>
        </is>
      </c>
      <c r="B6" s="8" t="n">
        <v>0.75</v>
      </c>
      <c r="C6" s="7" t="inlineStr">
        <is>
          <t>KPI report gauge target (median of per-person targets)</t>
        </is>
      </c>
    </row>
    <row r="7">
      <c r="A7" s="5" t="inlineStr">
        <is>
          <t>Active billable headcount (current)</t>
        </is>
      </c>
      <c r="B7" s="6" t="n">
        <v>10</v>
      </c>
      <c r="C7" s="7" t="inlineStr">
        <is>
          <t>People with recorded hours in the KPI report</t>
        </is>
      </c>
    </row>
    <row r="8">
      <c r="A8" s="5" t="inlineStr">
        <is>
          <t>Hours-to-May adjustment factor</t>
        </is>
      </c>
      <c r="B8" s="8" t="n">
        <v>0.787</v>
      </c>
      <c r="C8" s="7" t="inlineStr">
        <is>
          <t>KPI hours run through 7/11; factor scales them to Jan–May to match financials (21.6/27.4 wks)</t>
        </is>
      </c>
    </row>
    <row r="9">
      <c r="A9" s="5" t="inlineStr">
        <is>
          <t>Fringe &amp; benefit load on wages</t>
        </is>
      </c>
      <c r="B9" s="9" t="inlineStr">
        <is>
          <t>TBD</t>
        </is>
      </c>
      <c r="C9" s="7" t="inlineStr">
        <is>
          <t>REQUIRED from USC finance — drives loaded cost and true gross margin</t>
        </is>
      </c>
    </row>
    <row r="10">
      <c r="A10" s="5" t="inlineStr">
        <is>
          <t>USC corporate overhead allocation</t>
        </is>
      </c>
      <c r="B10" s="9" t="inlineStr">
        <is>
          <t>TBD</t>
        </is>
      </c>
      <c r="C10" s="7" t="inlineStr">
        <is>
          <t>REQUIRED from USC finance — methodology and current $</t>
        </is>
      </c>
    </row>
    <row r="11">
      <c r="A11" s="5" t="inlineStr">
        <is>
          <t>Interest expense basis (OILI)</t>
        </is>
      </c>
      <c r="B11" s="9" t="inlineStr">
        <is>
          <t>TBD</t>
        </is>
      </c>
      <c r="C11" s="7" t="inlineStr">
        <is>
          <t>REQUIRED from USC finance</t>
        </is>
      </c>
    </row>
    <row r="12">
      <c r="A12" s="5" t="inlineStr">
        <is>
          <t>Year-2 divisional sales goal ($K)</t>
        </is>
      </c>
      <c r="B12" s="6" t="n">
        <v>6000</v>
      </c>
      <c r="C12" s="7" t="inlineStr">
        <is>
          <t>Divisional business target</t>
        </is>
      </c>
    </row>
    <row r="13">
      <c r="A13" s="5" t="inlineStr">
        <is>
          <t>Year-2 OILI return target</t>
        </is>
      </c>
      <c r="B13" s="8" t="n">
        <v>0.2</v>
      </c>
      <c r="C13" s="7" t="inlineStr">
        <is>
          <t>OILI / revenue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21"/>
  <sheetViews>
    <sheetView workbookViewId="0">
      <selection activeCell="A1" sqref="A1"/>
    </sheetView>
  </sheetViews>
  <sheetFormatPr baseColWidth="8" defaultRowHeight="15"/>
  <cols>
    <col width="30" customWidth="1" min="1" max="1"/>
    <col width="12" customWidth="1" min="2" max="2"/>
  </cols>
  <sheetData>
    <row r="1">
      <c r="A1" s="1" t="inlineStr">
        <is>
          <t>CVR Engineering — Hourly Rates and Charges</t>
        </is>
      </c>
    </row>
    <row r="2">
      <c r="A2" s="2" t="inlineStr">
        <is>
          <t>Effective January 2026. Source: data/CVR_Rate_Sheet_2026.pdf</t>
        </is>
      </c>
    </row>
    <row r="4">
      <c r="A4" s="4" t="inlineStr">
        <is>
          <t>Classification</t>
        </is>
      </c>
      <c r="B4" s="4" t="inlineStr">
        <is>
          <t>Rate / hr</t>
        </is>
      </c>
    </row>
    <row r="5">
      <c r="A5" s="5" t="inlineStr">
        <is>
          <t>Administrative Assistant</t>
        </is>
      </c>
      <c r="B5" s="10" t="n">
        <v>59.62</v>
      </c>
    </row>
    <row r="6">
      <c r="A6" s="5" t="inlineStr">
        <is>
          <t>Graphics Technician</t>
        </is>
      </c>
      <c r="B6" s="10" t="n">
        <v>76.14</v>
      </c>
    </row>
    <row r="7">
      <c r="A7" s="5" t="inlineStr">
        <is>
          <t>Project Manager</t>
        </is>
      </c>
      <c r="B7" s="10" t="n">
        <v>159.86</v>
      </c>
    </row>
    <row r="8">
      <c r="A8" s="5" t="inlineStr">
        <is>
          <t>Designer I</t>
        </is>
      </c>
      <c r="B8" s="10" t="n">
        <v>79.91</v>
      </c>
    </row>
    <row r="9">
      <c r="A9" s="5" t="inlineStr">
        <is>
          <t>Designer II</t>
        </is>
      </c>
      <c r="B9" s="10" t="n">
        <v>95.7</v>
      </c>
    </row>
    <row r="10">
      <c r="A10" s="5" t="inlineStr">
        <is>
          <t>Senior Designer</t>
        </is>
      </c>
      <c r="B10" s="10" t="n">
        <v>105.01</v>
      </c>
    </row>
    <row r="11">
      <c r="A11" s="5" t="inlineStr">
        <is>
          <t>Engineer I</t>
        </is>
      </c>
      <c r="B11" s="10" t="n">
        <v>112.27</v>
      </c>
    </row>
    <row r="12">
      <c r="A12" s="5" t="inlineStr">
        <is>
          <t>Engineer II</t>
        </is>
      </c>
      <c r="B12" s="10" t="n">
        <v>138.09</v>
      </c>
    </row>
    <row r="13">
      <c r="A13" s="5" t="inlineStr">
        <is>
          <t>Engineer III</t>
        </is>
      </c>
      <c r="B13" s="10" t="n">
        <v>152.21</v>
      </c>
    </row>
    <row r="14">
      <c r="A14" s="5" t="inlineStr">
        <is>
          <t>Engineer IV</t>
        </is>
      </c>
      <c r="B14" s="10" t="n">
        <v>172.37</v>
      </c>
    </row>
    <row r="15">
      <c r="A15" s="5" t="inlineStr">
        <is>
          <t>Senior Engineer</t>
        </is>
      </c>
      <c r="B15" s="10" t="n">
        <v>241.57</v>
      </c>
    </row>
    <row r="16">
      <c r="A16" s="5" t="inlineStr">
        <is>
          <t>Principal Engineer</t>
        </is>
      </c>
      <c r="B16" s="10" t="n">
        <v>360.72</v>
      </c>
    </row>
    <row r="18">
      <c r="A18" s="2" t="inlineStr">
        <is>
          <t>• Travel time in the interest of the work billed at full rates.</t>
        </is>
      </c>
    </row>
    <row r="19">
      <c r="A19" s="2" t="inlineStr">
        <is>
          <t>• No overtime multipliers — excess hours billed at standard rates.</t>
        </is>
      </c>
    </row>
    <row r="20">
      <c r="A20" s="2" t="inlineStr">
        <is>
          <t>• Mileage at IRS rate; ground/air travel and living expenses at cost.</t>
        </is>
      </c>
    </row>
    <row r="21">
      <c r="A21" s="2" t="inlineStr">
        <is>
          <t>• Purchases, out-of-scope subcontract work and other expenses at cost + 10%.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21"/>
  <sheetViews>
    <sheetView workbookViewId="0">
      <selection activeCell="A1" sqref="A1"/>
    </sheetView>
  </sheetViews>
  <sheetFormatPr baseColWidth="8" defaultRowHeight="15"/>
  <cols>
    <col width="18" customWidth="1" min="1" max="1"/>
    <col width="20" customWidth="1" min="2" max="2"/>
    <col width="30" customWidth="1" min="3" max="3"/>
    <col width="11" customWidth="1" min="4" max="4"/>
    <col width="12" customWidth="1" min="5" max="5"/>
    <col width="11" customWidth="1" min="6" max="6"/>
    <col width="13" customWidth="1" min="7" max="7"/>
    <col width="9" customWidth="1" min="8" max="8"/>
    <col width="12" customWidth="1" min="9" max="9"/>
    <col width="12" customWidth="1" min="10" max="10"/>
    <col width="12" customWidth="1" min="11" max="11"/>
    <col width="16" customWidth="1" min="12" max="12"/>
  </cols>
  <sheetData>
    <row r="1">
      <c r="A1" s="1" t="inlineStr">
        <is>
          <t>Roster, YTD Hours and Utilization (2026 through week ending 7/11)</t>
        </is>
      </c>
    </row>
    <row r="2">
      <c r="A2" s="2" t="inlineStr">
        <is>
          <t>Hours and splits from the KPI report utilization page. Orange classifications are assumptions pending confirmation.</t>
        </is>
      </c>
    </row>
    <row r="4">
      <c r="A4" s="4" t="inlineStr">
        <is>
          <t>Name</t>
        </is>
      </c>
      <c r="B4" s="4" t="inlineStr">
        <is>
          <t>Billing classification</t>
        </is>
      </c>
      <c r="C4" s="4" t="inlineStr">
        <is>
          <t>Class source</t>
        </is>
      </c>
      <c r="D4" s="4" t="inlineStr">
        <is>
          <t>Rate / hr</t>
        </is>
      </c>
      <c r="E4" s="4" t="inlineStr">
        <is>
          <t>Total hrs YTD</t>
        </is>
      </c>
      <c r="F4" s="4" t="inlineStr">
        <is>
          <t>Billable %</t>
        </is>
      </c>
      <c r="G4" s="4" t="inlineStr">
        <is>
          <t>Non-billable %</t>
        </is>
      </c>
      <c r="H4" s="4" t="inlineStr">
        <is>
          <t>Bids %</t>
        </is>
      </c>
      <c r="I4" s="4" t="inlineStr">
        <is>
          <t>Billable hrs</t>
        </is>
      </c>
      <c r="J4" s="4" t="inlineStr">
        <is>
          <t>Target util %</t>
        </is>
      </c>
      <c r="K4" s="4" t="inlineStr">
        <is>
          <t>Util vs target</t>
        </is>
      </c>
      <c r="L4" s="4" t="inlineStr">
        <is>
          <t>Billable value @ card</t>
        </is>
      </c>
    </row>
    <row r="5">
      <c r="A5" s="5" t="inlineStr">
        <is>
          <t>Craig Peterson</t>
        </is>
      </c>
      <c r="B5" s="5" t="inlineStr">
        <is>
          <t>Engineer I</t>
        </is>
      </c>
      <c r="C5" s="7" t="inlineStr">
        <is>
          <t>org chart</t>
        </is>
      </c>
      <c r="D5" s="10">
        <f>Rates!B11</f>
        <v/>
      </c>
      <c r="E5" s="11" t="n">
        <v>1017</v>
      </c>
      <c r="F5" s="12" t="n">
        <v>0.796</v>
      </c>
      <c r="G5" s="12" t="n">
        <v>0.204</v>
      </c>
      <c r="H5" s="12" t="n">
        <v>0</v>
      </c>
      <c r="I5" s="11">
        <f>IF(E5="","",E5*F5)</f>
        <v/>
      </c>
      <c r="J5" s="12" t="n">
        <v>0.754</v>
      </c>
      <c r="K5" s="12">
        <f>F5-J5</f>
        <v/>
      </c>
      <c r="L5" s="13">
        <f>I5*D5</f>
        <v/>
      </c>
    </row>
    <row r="6">
      <c r="A6" s="5" t="inlineStr">
        <is>
          <t>Bhkti Patel</t>
        </is>
      </c>
      <c r="B6" s="5" t="inlineStr">
        <is>
          <t>Engineer III</t>
        </is>
      </c>
      <c r="C6" s="7" t="inlineStr">
        <is>
          <t>org chart</t>
        </is>
      </c>
      <c r="D6" s="10">
        <f>Rates!B13</f>
        <v/>
      </c>
      <c r="E6" s="11" t="n">
        <v>1045</v>
      </c>
      <c r="F6" s="12" t="n">
        <v>0.744</v>
      </c>
      <c r="G6" s="12" t="n">
        <v>0.202</v>
      </c>
      <c r="H6" s="12" t="n">
        <v>0.055</v>
      </c>
      <c r="I6" s="11">
        <f>IF(E6="","",E6*F6)</f>
        <v/>
      </c>
      <c r="J6" s="12" t="n">
        <v>0.707</v>
      </c>
      <c r="K6" s="12">
        <f>F6-J6</f>
        <v/>
      </c>
      <c r="L6" s="13">
        <f>I6*D6</f>
        <v/>
      </c>
    </row>
    <row r="7">
      <c r="A7" s="5" t="inlineStr">
        <is>
          <t>Taylor Nelson</t>
        </is>
      </c>
      <c r="B7" s="9" t="inlineStr">
        <is>
          <t>Engineer II</t>
        </is>
      </c>
      <c r="C7" s="9" t="inlineStr">
        <is>
          <t>ASSUMED — confirm</t>
        </is>
      </c>
      <c r="D7" s="10">
        <f>Rates!B12</f>
        <v/>
      </c>
      <c r="E7" s="11" t="n">
        <v>1045</v>
      </c>
      <c r="F7" s="12" t="n">
        <v>0.61</v>
      </c>
      <c r="G7" s="12" t="n">
        <v>0.337</v>
      </c>
      <c r="H7" s="12" t="n">
        <v>0.054</v>
      </c>
      <c r="I7" s="11">
        <f>IF(E7="","",E7*F7)</f>
        <v/>
      </c>
      <c r="J7" s="12" t="n">
        <v>0.801</v>
      </c>
      <c r="K7" s="12">
        <f>F7-J7</f>
        <v/>
      </c>
      <c r="L7" s="13">
        <f>I7*D7</f>
        <v/>
      </c>
    </row>
    <row r="8">
      <c r="A8" s="5" t="inlineStr">
        <is>
          <t>Hayley Worthen</t>
        </is>
      </c>
      <c r="B8" s="5" t="inlineStr">
        <is>
          <t>Senior Engineer</t>
        </is>
      </c>
      <c r="C8" s="7" t="inlineStr">
        <is>
          <t>org chart</t>
        </is>
      </c>
      <c r="D8" s="10">
        <f>Rates!B15</f>
        <v/>
      </c>
      <c r="E8" s="11" t="n">
        <v>952</v>
      </c>
      <c r="F8" s="12" t="n">
        <v>0.669</v>
      </c>
      <c r="G8" s="12" t="n">
        <v>0.162</v>
      </c>
      <c r="H8" s="12" t="n">
        <v>0.169</v>
      </c>
      <c r="I8" s="11">
        <f>IF(E8="","",E8*F8)</f>
        <v/>
      </c>
      <c r="J8" s="12" t="n">
        <v>0.613</v>
      </c>
      <c r="K8" s="12">
        <f>F8-J8</f>
        <v/>
      </c>
      <c r="L8" s="13">
        <f>I8*D8</f>
        <v/>
      </c>
    </row>
    <row r="9">
      <c r="A9" s="5" t="inlineStr">
        <is>
          <t>Francis Wagner</t>
        </is>
      </c>
      <c r="B9" s="5" t="inlineStr">
        <is>
          <t>Engineer III</t>
        </is>
      </c>
      <c r="C9" s="7" t="inlineStr">
        <is>
          <t>org chart</t>
        </is>
      </c>
      <c r="D9" s="10">
        <f>Rates!B13</f>
        <v/>
      </c>
      <c r="E9" s="11" t="n">
        <v>992</v>
      </c>
      <c r="F9" s="12" t="n">
        <v>0.625</v>
      </c>
      <c r="G9" s="12" t="n">
        <v>0.343</v>
      </c>
      <c r="H9" s="12" t="n">
        <v>0.032</v>
      </c>
      <c r="I9" s="11">
        <f>IF(E9="","",E9*F9)</f>
        <v/>
      </c>
      <c r="J9" s="12" t="n">
        <v>0.707</v>
      </c>
      <c r="K9" s="12">
        <f>F9-J9</f>
        <v/>
      </c>
      <c r="L9" s="13">
        <f>I9*D9</f>
        <v/>
      </c>
    </row>
    <row r="10">
      <c r="A10" s="5" t="inlineStr">
        <is>
          <t>Collin Allen</t>
        </is>
      </c>
      <c r="B10" s="5" t="inlineStr">
        <is>
          <t>Graphics Technician</t>
        </is>
      </c>
      <c r="C10" s="7" t="inlineStr">
        <is>
          <t>org chart</t>
        </is>
      </c>
      <c r="D10" s="10">
        <f>Rates!B6</f>
        <v/>
      </c>
      <c r="E10" s="11" t="n">
        <v>985.25</v>
      </c>
      <c r="F10" s="12" t="n">
        <v>0.576</v>
      </c>
      <c r="G10" s="12" t="n">
        <v>0.424</v>
      </c>
      <c r="H10" s="12" t="n">
        <v>0</v>
      </c>
      <c r="I10" s="11">
        <f>IF(E10="","",E10*F10)</f>
        <v/>
      </c>
      <c r="J10" s="12" t="n">
        <v>0.801</v>
      </c>
      <c r="K10" s="12">
        <f>F10-J10</f>
        <v/>
      </c>
      <c r="L10" s="13">
        <f>I10*D10</f>
        <v/>
      </c>
    </row>
    <row r="11">
      <c r="A11" s="5" t="inlineStr">
        <is>
          <t>Kevin Metts</t>
        </is>
      </c>
      <c r="B11" s="9" t="inlineStr">
        <is>
          <t>Designer II</t>
        </is>
      </c>
      <c r="C11" s="9" t="inlineStr">
        <is>
          <t>ASSUMED — confirm</t>
        </is>
      </c>
      <c r="D11" s="10">
        <f>Rates!B9</f>
        <v/>
      </c>
      <c r="E11" s="11" t="n">
        <v>890</v>
      </c>
      <c r="F11" s="12" t="n">
        <v>0.384</v>
      </c>
      <c r="G11" s="12" t="n">
        <v>0.598</v>
      </c>
      <c r="H11" s="12" t="n">
        <v>0.018</v>
      </c>
      <c r="I11" s="11">
        <f>IF(E11="","",E11*F11)</f>
        <v/>
      </c>
      <c r="J11" s="12" t="n">
        <v>0.754</v>
      </c>
      <c r="K11" s="12">
        <f>F11-J11</f>
        <v/>
      </c>
      <c r="L11" s="13">
        <f>I11*D11</f>
        <v/>
      </c>
    </row>
    <row r="12">
      <c r="A12" s="5" t="inlineStr">
        <is>
          <t>Roy Pierce</t>
        </is>
      </c>
      <c r="B12" s="9" t="inlineStr">
        <is>
          <t>Principal Engineer</t>
        </is>
      </c>
      <c r="C12" s="9" t="inlineStr">
        <is>
          <t>ASSUMED billing class</t>
        </is>
      </c>
      <c r="D12" s="10">
        <f>Rates!B16</f>
        <v/>
      </c>
      <c r="E12" s="11" t="n">
        <v>847</v>
      </c>
      <c r="F12" s="12" t="n">
        <v>0.327</v>
      </c>
      <c r="G12" s="12" t="n">
        <v>0.591</v>
      </c>
      <c r="H12" s="12" t="n">
        <v>0.082</v>
      </c>
      <c r="I12" s="11">
        <f>IF(E12="","",E12*F12)</f>
        <v/>
      </c>
      <c r="J12" s="12" t="n">
        <v>0.424</v>
      </c>
      <c r="K12" s="12">
        <f>F12-J12</f>
        <v/>
      </c>
      <c r="L12" s="13">
        <f>I12*D12</f>
        <v/>
      </c>
    </row>
    <row r="13">
      <c r="A13" s="5" t="inlineStr">
        <is>
          <t>Randy Pynenberg</t>
        </is>
      </c>
      <c r="B13" s="5" t="inlineStr">
        <is>
          <t>Engineer IV</t>
        </is>
      </c>
      <c r="C13" s="7" t="inlineStr">
        <is>
          <t>org chart</t>
        </is>
      </c>
      <c r="D13" s="10">
        <f>Rates!B14</f>
        <v/>
      </c>
      <c r="E13" s="11" t="n">
        <v>68</v>
      </c>
      <c r="F13" s="12" t="n">
        <v>0.897</v>
      </c>
      <c r="G13" s="12" t="n">
        <v>0</v>
      </c>
      <c r="H13" s="12" t="n">
        <v>0.103</v>
      </c>
      <c r="I13" s="11">
        <f>IF(E13="","",E13*F13)</f>
        <v/>
      </c>
      <c r="J13" s="12" t="n">
        <v>0.95</v>
      </c>
      <c r="K13" s="12">
        <f>F13-J13</f>
        <v/>
      </c>
      <c r="L13" s="13">
        <f>I13*D13</f>
        <v/>
      </c>
    </row>
    <row r="14">
      <c r="A14" s="5" t="inlineStr">
        <is>
          <t>Auston Hopson</t>
        </is>
      </c>
      <c r="B14" s="5" t="inlineStr">
        <is>
          <t>Graphics Technician</t>
        </is>
      </c>
      <c r="C14" s="7" t="inlineStr">
        <is>
          <t>org chart</t>
        </is>
      </c>
      <c r="D14" s="10">
        <f>Rates!B6</f>
        <v/>
      </c>
      <c r="E14" s="11" t="n">
        <v>18</v>
      </c>
      <c r="F14" s="12" t="n">
        <v>1</v>
      </c>
      <c r="G14" s="12" t="n">
        <v>0</v>
      </c>
      <c r="H14" s="12" t="n">
        <v>0</v>
      </c>
      <c r="I14" s="11">
        <f>IF(E14="","",E14*F14)</f>
        <v/>
      </c>
      <c r="J14" s="12" t="n">
        <v>1</v>
      </c>
      <c r="K14" s="12">
        <f>F14-J14</f>
        <v/>
      </c>
      <c r="L14" s="13">
        <f>I14*D14</f>
        <v/>
      </c>
    </row>
    <row r="15">
      <c r="A15" s="5" t="inlineStr">
        <is>
          <t>Tom Little</t>
        </is>
      </c>
      <c r="B15" s="5" t="inlineStr">
        <is>
          <t>Engineer IV</t>
        </is>
      </c>
      <c r="C15" s="9" t="inlineStr">
        <is>
          <t>org chart — no hours in KPI report</t>
        </is>
      </c>
      <c r="D15" s="10">
        <f>Rates!B14</f>
        <v/>
      </c>
      <c r="E15" s="11" t="n"/>
      <c r="F15" s="12" t="n"/>
      <c r="G15" s="12" t="n"/>
      <c r="H15" s="12" t="n"/>
      <c r="I15" s="11" t="n"/>
      <c r="J15" s="12" t="n"/>
      <c r="K15" s="12" t="n"/>
      <c r="L15" s="13" t="n"/>
    </row>
    <row r="16">
      <c r="A16" s="5" t="inlineStr">
        <is>
          <t>Erin Bryden</t>
        </is>
      </c>
      <c r="B16" s="5" t="inlineStr">
        <is>
          <t>Engineer IV</t>
        </is>
      </c>
      <c r="C16" s="9" t="inlineStr">
        <is>
          <t>org chart — no hours in KPI report</t>
        </is>
      </c>
      <c r="D16" s="10">
        <f>Rates!B14</f>
        <v/>
      </c>
      <c r="E16" s="11" t="n"/>
      <c r="F16" s="12" t="n"/>
      <c r="G16" s="12" t="n"/>
      <c r="H16" s="12" t="n"/>
      <c r="I16" s="11" t="n"/>
      <c r="J16" s="12" t="n"/>
      <c r="K16" s="12" t="n"/>
      <c r="L16" s="13" t="n"/>
    </row>
    <row r="17">
      <c r="A17" s="5" t="inlineStr">
        <is>
          <t>Patrick Nicholson</t>
        </is>
      </c>
      <c r="B17" s="5" t="inlineStr">
        <is>
          <t>Senior Designer</t>
        </is>
      </c>
      <c r="C17" s="9" t="inlineStr">
        <is>
          <t>org chart — no hours in KPI report</t>
        </is>
      </c>
      <c r="D17" s="10">
        <f>Rates!B10</f>
        <v/>
      </c>
      <c r="E17" s="11" t="n"/>
      <c r="F17" s="12" t="n"/>
      <c r="G17" s="12" t="n"/>
      <c r="H17" s="12" t="n"/>
      <c r="I17" s="11" t="n"/>
      <c r="J17" s="12" t="n"/>
      <c r="K17" s="12" t="n"/>
      <c r="L17" s="13" t="n"/>
    </row>
    <row r="18">
      <c r="A18" s="14" t="inlineStr">
        <is>
          <t>TOTAL / blended</t>
        </is>
      </c>
      <c r="B18" s="15" t="n"/>
      <c r="C18" s="15" t="n"/>
      <c r="D18" s="16">
        <f>L18/I18</f>
        <v/>
      </c>
      <c r="E18" s="17">
        <f>SUM(E5:E17)</f>
        <v/>
      </c>
      <c r="F18" s="15" t="n"/>
      <c r="G18" s="15" t="n"/>
      <c r="H18" s="15" t="n"/>
      <c r="I18" s="17">
        <f>SUM(I5:I17)</f>
        <v/>
      </c>
      <c r="J18" s="15" t="n"/>
      <c r="K18" s="15" t="n"/>
      <c r="L18" s="18">
        <f>SUM(L5:L17)</f>
        <v/>
      </c>
    </row>
    <row r="20">
      <c r="A20" s="2" t="inlineStr">
        <is>
          <t>KPI report totals: 8,052.25 total hrs · 4,747 billable · 2,896 non-billable · 405 bids · 59.0% total billable utilization. Roster above sums slightly lower (~193 hrs unattributed on the report page).</t>
        </is>
      </c>
    </row>
    <row r="21">
      <c r="A21" s="2" t="inlineStr">
        <is>
          <t>Blended card rate (col D total) is the mix-weighted average bill rate of actual billable hours — used by the Realization tab.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23"/>
  <sheetViews>
    <sheetView workbookViewId="0">
      <selection activeCell="A1" sqref="A1"/>
    </sheetView>
  </sheetViews>
  <sheetFormatPr baseColWidth="8" defaultRowHeight="15"/>
  <cols>
    <col width="34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1" customWidth="1" min="7" max="7"/>
  </cols>
  <sheetData>
    <row r="1">
      <c r="A1" s="1" t="inlineStr">
        <is>
          <t>CVR — Baseline P&amp;L, January–May 2026 (all figures $K)</t>
        </is>
      </c>
    </row>
    <row r="2">
      <c r="A2" s="2" t="inlineStr">
        <is>
          <t>Revenue / Gross Profit / Net Income published in the KPI report. Cost of Sales and Operating Expenses are DERIVED.</t>
        </is>
      </c>
    </row>
    <row r="4">
      <c r="A4" s="4" t="inlineStr">
        <is>
          <t>CVR ACTUALS ($K)</t>
        </is>
      </c>
      <c r="B4" s="4" t="inlineStr">
        <is>
          <t>Jan</t>
        </is>
      </c>
      <c r="C4" s="4" t="inlineStr">
        <is>
          <t>Feb</t>
        </is>
      </c>
      <c r="D4" s="4" t="inlineStr">
        <is>
          <t>Mar</t>
        </is>
      </c>
      <c r="E4" s="4" t="inlineStr">
        <is>
          <t>Apr</t>
        </is>
      </c>
      <c r="F4" s="4" t="inlineStr">
        <is>
          <t>May</t>
        </is>
      </c>
      <c r="G4" s="4" t="inlineStr">
        <is>
          <t>YTD</t>
        </is>
      </c>
    </row>
    <row r="5">
      <c r="A5" s="3" t="inlineStr">
        <is>
          <t>Revenue</t>
        </is>
      </c>
      <c r="B5" s="11" t="n">
        <v>110.5</v>
      </c>
      <c r="C5" s="11" t="n">
        <v>96.8</v>
      </c>
      <c r="D5" s="11" t="n">
        <v>39.3</v>
      </c>
      <c r="E5" s="11" t="n">
        <v>94.59999999999999</v>
      </c>
      <c r="F5" s="11" t="n">
        <v>85.5</v>
      </c>
      <c r="G5" s="19">
        <f>SUM(B5:F5)</f>
        <v/>
      </c>
    </row>
    <row r="6">
      <c r="A6" s="20" t="inlineStr">
        <is>
          <t>Cost of Sales (derived)</t>
        </is>
      </c>
      <c r="B6" s="11">
        <f>B5-B7</f>
        <v/>
      </c>
      <c r="C6" s="11">
        <f>C5-C7</f>
        <v/>
      </c>
      <c r="D6" s="11">
        <f>D5-D7</f>
        <v/>
      </c>
      <c r="E6" s="11">
        <f>E5-E7</f>
        <v/>
      </c>
      <c r="F6" s="11">
        <f>F5-F7</f>
        <v/>
      </c>
      <c r="G6" s="19">
        <f>SUM(B6:F6)</f>
        <v/>
      </c>
    </row>
    <row r="7">
      <c r="A7" s="3" t="inlineStr">
        <is>
          <t>Gross Profit</t>
        </is>
      </c>
      <c r="B7" s="11" t="n">
        <v>52.6</v>
      </c>
      <c r="C7" s="11" t="n">
        <v>24.2</v>
      </c>
      <c r="D7" s="11" t="n">
        <v>-15.7</v>
      </c>
      <c r="E7" s="11" t="n">
        <v>33.7</v>
      </c>
      <c r="F7" s="11" t="n">
        <v>-18</v>
      </c>
      <c r="G7" s="19">
        <f>SUM(B7:F7)</f>
        <v/>
      </c>
    </row>
    <row r="8">
      <c r="A8" t="inlineStr">
        <is>
          <t>Gross margin %</t>
        </is>
      </c>
      <c r="B8" s="21">
        <f>B7/B5</f>
        <v/>
      </c>
      <c r="C8" s="21">
        <f>C7/C5</f>
        <v/>
      </c>
      <c r="D8" s="21">
        <f>D7/D5</f>
        <v/>
      </c>
      <c r="E8" s="21">
        <f>E7/E5</f>
        <v/>
      </c>
      <c r="F8" s="21">
        <f>F7/F5</f>
        <v/>
      </c>
      <c r="G8" s="21">
        <f>G7/G5</f>
        <v/>
      </c>
    </row>
    <row r="9">
      <c r="A9" s="20" t="inlineStr">
        <is>
          <t>Operating Expenses (derived)</t>
        </is>
      </c>
      <c r="B9" s="11">
        <f>B7-B10</f>
        <v/>
      </c>
      <c r="C9" s="11">
        <f>C7-C10</f>
        <v/>
      </c>
      <c r="D9" s="11">
        <f>D7-D10</f>
        <v/>
      </c>
      <c r="E9" s="11">
        <f>E7-E10</f>
        <v/>
      </c>
      <c r="F9" s="11">
        <f>F7-F10</f>
        <v/>
      </c>
      <c r="G9" s="19">
        <f>SUM(B9:F9)</f>
        <v/>
      </c>
    </row>
    <row r="10">
      <c r="A10" s="3" t="inlineStr">
        <is>
          <t>Net Income / (Loss)</t>
        </is>
      </c>
      <c r="B10" s="11" t="n">
        <v>-41.7</v>
      </c>
      <c r="C10" s="11" t="n">
        <v>-49.1</v>
      </c>
      <c r="D10" s="11" t="n">
        <v>-98.8</v>
      </c>
      <c r="E10" s="11" t="n">
        <v>-60.5</v>
      </c>
      <c r="F10" s="11" t="n">
        <v>-54.5</v>
      </c>
      <c r="G10" s="19">
        <f>SUM(B10:F10)</f>
        <v/>
      </c>
    </row>
    <row r="11">
      <c r="A11" t="inlineStr">
        <is>
          <t>Net margin %</t>
        </is>
      </c>
      <c r="B11" s="21">
        <f>B10/B5</f>
        <v/>
      </c>
      <c r="C11" s="21">
        <f>C10/C5</f>
        <v/>
      </c>
      <c r="D11" s="21">
        <f>D10/D5</f>
        <v/>
      </c>
      <c r="E11" s="21">
        <f>E10/E5</f>
        <v/>
      </c>
      <c r="F11" s="21">
        <f>F10/F5</f>
        <v/>
      </c>
      <c r="G11" s="21">
        <f>G10/G5</f>
        <v/>
      </c>
    </row>
    <row r="13">
      <c r="A13" s="4" t="inlineStr">
        <is>
          <t>BUDGET ($K, monthly = Δ of published YTD)</t>
        </is>
      </c>
      <c r="B13" s="4" t="inlineStr">
        <is>
          <t>Jan</t>
        </is>
      </c>
      <c r="C13" s="4" t="inlineStr">
        <is>
          <t>Feb</t>
        </is>
      </c>
      <c r="D13" s="4" t="inlineStr">
        <is>
          <t>Mar</t>
        </is>
      </c>
      <c r="E13" s="4" t="inlineStr">
        <is>
          <t>Apr</t>
        </is>
      </c>
      <c r="F13" s="4" t="inlineStr">
        <is>
          <t>May</t>
        </is>
      </c>
      <c r="G13" s="4" t="inlineStr">
        <is>
          <t>YTD</t>
        </is>
      </c>
    </row>
    <row r="14">
      <c r="A14" t="inlineStr">
        <is>
          <t>Revenue — budget</t>
        </is>
      </c>
      <c r="B14" s="11" t="n">
        <v>169.1</v>
      </c>
      <c r="C14" s="11" t="n">
        <v>169.1</v>
      </c>
      <c r="D14" s="11" t="n">
        <v>169.1</v>
      </c>
      <c r="E14" s="11" t="n">
        <v>169.1</v>
      </c>
      <c r="F14" s="11" t="n">
        <v>169.1</v>
      </c>
      <c r="G14" s="19">
        <f>SUM(B14:F14)</f>
        <v/>
      </c>
    </row>
    <row r="15">
      <c r="A15" t="inlineStr">
        <is>
          <t>Gross Profit — budget</t>
        </is>
      </c>
      <c r="B15" s="11" t="n">
        <v>104.1</v>
      </c>
      <c r="C15" s="11" t="n">
        <v>104.1</v>
      </c>
      <c r="D15" s="11" t="n">
        <v>104.1</v>
      </c>
      <c r="E15" s="11" t="n">
        <v>104.2</v>
      </c>
      <c r="F15" s="11" t="n">
        <v>104.1</v>
      </c>
      <c r="G15" s="19">
        <f>SUM(B15:F15)</f>
        <v/>
      </c>
    </row>
    <row r="16">
      <c r="A16" t="inlineStr">
        <is>
          <t>Net Income — budget</t>
        </is>
      </c>
      <c r="B16" s="11" t="n">
        <v>11.6</v>
      </c>
      <c r="C16" s="11" t="n">
        <v>11.6</v>
      </c>
      <c r="D16" s="11" t="n">
        <v>11.7</v>
      </c>
      <c r="E16" s="11" t="n">
        <v>11.6</v>
      </c>
      <c r="F16" s="11" t="n">
        <v>11.6</v>
      </c>
      <c r="G16" s="19">
        <f>SUM(B16:F16)</f>
        <v/>
      </c>
    </row>
    <row r="18">
      <c r="A18" s="4" t="inlineStr">
        <is>
          <t>VARIANCE — YTD ($K)</t>
        </is>
      </c>
      <c r="B18" s="4" t="inlineStr">
        <is>
          <t>Actual</t>
        </is>
      </c>
      <c r="C18" s="4" t="inlineStr">
        <is>
          <t>Budget</t>
        </is>
      </c>
      <c r="D18" s="4" t="inlineStr">
        <is>
          <t>Act − Bud</t>
        </is>
      </c>
    </row>
    <row r="19">
      <c r="A19" s="5" t="inlineStr">
        <is>
          <t>Revenue</t>
        </is>
      </c>
      <c r="B19" s="11">
        <f>G5</f>
        <v/>
      </c>
      <c r="C19" s="11">
        <f>G14</f>
        <v/>
      </c>
      <c r="D19" s="11">
        <f>B19-C19</f>
        <v/>
      </c>
    </row>
    <row r="20">
      <c r="A20" s="5" t="inlineStr">
        <is>
          <t>Gross Profit</t>
        </is>
      </c>
      <c r="B20" s="11">
        <f>G7</f>
        <v/>
      </c>
      <c r="C20" s="11">
        <f>G15</f>
        <v/>
      </c>
      <c r="D20" s="11">
        <f>B20-C20</f>
        <v/>
      </c>
    </row>
    <row r="21">
      <c r="A21" s="5" t="inlineStr">
        <is>
          <t>Net Income</t>
        </is>
      </c>
      <c r="B21" s="11">
        <f>G10</f>
        <v/>
      </c>
      <c r="C21" s="11">
        <f>G16</f>
        <v/>
      </c>
      <c r="D21" s="11">
        <f>B21-C21</f>
        <v/>
      </c>
    </row>
    <row r="23">
      <c r="A23" s="2" t="inlineStr">
        <is>
          <t>Reading: YTD revenue at 50% of budget; two negative-GP months (Mar, May); OpEx derived at ~$76K/mo average. Phase 2 replaces derived lines with USC's actual line items.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selection activeCell="A1" sqref="A1"/>
    </sheetView>
  </sheetViews>
  <sheetFormatPr baseColWidth="8" defaultRowHeight="15"/>
  <cols>
    <col width="30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1" customWidth="1" min="7" max="7"/>
  </cols>
  <sheetData>
    <row r="1">
      <c r="A1" s="1" t="inlineStr">
        <is>
          <t>HWC EPC — Baseline, January–May 2026 (all figures $K)</t>
        </is>
      </c>
    </row>
    <row r="2">
      <c r="A2" s="2" t="inlineStr">
        <is>
          <t>Context for the engineering P&amp;L: design quality and constructability directly affect these outcomes.</t>
        </is>
      </c>
    </row>
    <row r="4">
      <c r="A4" s="4" t="inlineStr">
        <is>
          <t>HWC EPC ($K)</t>
        </is>
      </c>
      <c r="B4" s="4" t="inlineStr">
        <is>
          <t>Jan</t>
        </is>
      </c>
      <c r="C4" s="4" t="inlineStr">
        <is>
          <t>Feb</t>
        </is>
      </c>
      <c r="D4" s="4" t="inlineStr">
        <is>
          <t>Mar</t>
        </is>
      </c>
      <c r="E4" s="4" t="inlineStr">
        <is>
          <t>Apr</t>
        </is>
      </c>
      <c r="F4" s="4" t="inlineStr">
        <is>
          <t>May</t>
        </is>
      </c>
      <c r="G4" s="4" t="inlineStr">
        <is>
          <t>YTD</t>
        </is>
      </c>
    </row>
    <row r="5">
      <c r="A5" s="3" t="inlineStr">
        <is>
          <t>Revenue</t>
        </is>
      </c>
      <c r="B5" s="11" t="n">
        <v>732.2</v>
      </c>
      <c r="C5" s="11" t="n">
        <v>207.7</v>
      </c>
      <c r="D5" s="11" t="n">
        <v>-321</v>
      </c>
      <c r="E5" s="11" t="n">
        <v>-125.1</v>
      </c>
      <c r="F5" s="11" t="n">
        <v>678.6</v>
      </c>
      <c r="G5" s="19">
        <f>SUM(B5:F5)</f>
        <v/>
      </c>
    </row>
    <row r="6">
      <c r="A6" s="3" t="inlineStr">
        <is>
          <t>Net Profit / (Loss)</t>
        </is>
      </c>
      <c r="B6" s="11" t="n">
        <v>-318.3</v>
      </c>
      <c r="C6" s="11" t="n">
        <v>-346.9</v>
      </c>
      <c r="D6" s="11" t="n">
        <v>-672.8</v>
      </c>
      <c r="E6" s="11" t="n">
        <v>-656.5</v>
      </c>
      <c r="F6" s="11" t="n">
        <v>-114.8</v>
      </c>
      <c r="G6" s="19">
        <f>SUM(B6:F6)</f>
        <v/>
      </c>
    </row>
    <row r="7">
      <c r="A7" t="inlineStr">
        <is>
          <t>Net margin % (YTD)</t>
        </is>
      </c>
      <c r="G7" s="21">
        <f>G6/G5</f>
        <v/>
      </c>
    </row>
    <row r="9">
      <c r="A9" s="2" t="inlineStr">
        <is>
          <t>Negative revenue in March and April are billing adjustments/write-downs per the KPI report charts.</t>
        </is>
      </c>
    </row>
    <row r="10">
      <c r="A10" s="2" t="inlineStr">
        <is>
          <t>Active EPC scorecard jobs (7/11/2026): 4 substation projects, PO $4.3M–$6.6M, plan margins 12.7%–16.4%,</t>
        </is>
      </c>
    </row>
    <row r="11">
      <c r="A11" s="2" t="inlineStr">
        <is>
          <t>cost variance +3.6% to −19.8%. Engineering share of paired EPC pursuits runs ~4–5% of EPC job value.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33"/>
  <sheetViews>
    <sheetView workbookViewId="0">
      <selection activeCell="A1" sqref="A1"/>
    </sheetView>
  </sheetViews>
  <sheetFormatPr baseColWidth="8" defaultRowHeight="15"/>
  <cols>
    <col width="44" customWidth="1" min="1" max="1"/>
    <col width="13" customWidth="1" min="2" max="2"/>
    <col width="13" customWidth="1" min="3" max="3"/>
    <col width="13" customWidth="1" min="4" max="4"/>
    <col width="13" customWidth="1" min="5" max="5"/>
  </cols>
  <sheetData>
    <row r="1">
      <c r="A1" s="1" t="inlineStr">
        <is>
          <t>Realization Analysis — where does the rate card go?</t>
        </is>
      </c>
    </row>
    <row r="2">
      <c r="A2" s="2" t="inlineStr">
        <is>
          <t>Compares what YTD billable hours are worth at card rates against revenue actually recognized.</t>
        </is>
      </c>
    </row>
    <row r="4">
      <c r="A4" s="4" t="inlineStr">
        <is>
          <t>Step</t>
        </is>
      </c>
      <c r="B4" s="4" t="inlineStr">
        <is>
          <t>Value</t>
        </is>
      </c>
      <c r="C4" s="4" t="inlineStr">
        <is>
          <t>Source / formula</t>
        </is>
      </c>
    </row>
    <row r="5">
      <c r="A5" s="5" t="inlineStr">
        <is>
          <t>Billable hours YTD (through 7/11)</t>
        </is>
      </c>
      <c r="B5" s="11">
        <f>'Roster &amp; Hours'!I18</f>
        <v/>
      </c>
      <c r="C5" s="7" t="inlineStr">
        <is>
          <t>Roster &amp; Hours total (KPI report: 4,747)</t>
        </is>
      </c>
    </row>
    <row r="6">
      <c r="A6" s="5" t="inlineStr">
        <is>
          <t>Adjustment factor to Jan–May</t>
        </is>
      </c>
      <c r="B6" s="22">
        <f>Assumptions!B8</f>
        <v/>
      </c>
      <c r="C6" s="7" t="inlineStr">
        <is>
          <t>Assumptions — scales hours to match Jan–May financials</t>
        </is>
      </c>
    </row>
    <row r="7">
      <c r="A7" s="5" t="inlineStr">
        <is>
          <t>Est. billable hours, Jan–May</t>
        </is>
      </c>
      <c r="B7" s="11">
        <f>B5*B6</f>
        <v/>
      </c>
      <c r="C7" s="7" t="inlineStr">
        <is>
          <t>calc</t>
        </is>
      </c>
    </row>
    <row r="8">
      <c r="A8" s="5" t="inlineStr">
        <is>
          <t>Blended card rate ($/hr)</t>
        </is>
      </c>
      <c r="B8" s="10">
        <f>'Roster &amp; Hours'!D18</f>
        <v/>
      </c>
      <c r="C8" s="7" t="inlineStr">
        <is>
          <t>mix-weighted from actual billable hours</t>
        </is>
      </c>
    </row>
    <row r="9">
      <c r="A9" s="5" t="inlineStr">
        <is>
          <t>Value at card rates, Jan–May ($K)</t>
        </is>
      </c>
      <c r="B9" s="11">
        <f>B7*B8/1000</f>
        <v/>
      </c>
      <c r="C9" s="7" t="inlineStr">
        <is>
          <t>calc</t>
        </is>
      </c>
    </row>
    <row r="10">
      <c r="A10" s="5" t="inlineStr">
        <is>
          <t>Actual revenue, Jan–May ($K)</t>
        </is>
      </c>
      <c r="B10" s="11">
        <f>'Baseline P&amp;L'!G5</f>
        <v/>
      </c>
      <c r="C10" s="7" t="inlineStr">
        <is>
          <t>Baseline P&amp;L</t>
        </is>
      </c>
    </row>
    <row r="11">
      <c r="A11" s="5" t="inlineStr">
        <is>
          <t>Realization %</t>
        </is>
      </c>
      <c r="B11" s="12">
        <f>B10/B9</f>
        <v/>
      </c>
      <c r="C11" s="7" t="inlineStr">
        <is>
          <t>actual ÷ card value</t>
        </is>
      </c>
    </row>
    <row r="12">
      <c r="A12" s="5" t="inlineStr">
        <is>
          <t>Implied realized rate ($/hr)</t>
        </is>
      </c>
      <c r="B12" s="10">
        <f>B10*1000/B7</f>
        <v/>
      </c>
      <c r="C12" s="7" t="inlineStr">
        <is>
          <t>calc</t>
        </is>
      </c>
    </row>
    <row r="13">
      <c r="A13" s="5" t="inlineStr">
        <is>
          <t>Unexplained gap ($K)</t>
        </is>
      </c>
      <c r="B13" s="11">
        <f>B9-B10</f>
        <v/>
      </c>
      <c r="C13" s="7" t="inlineStr">
        <is>
          <t>to be decomposed below</t>
        </is>
      </c>
    </row>
    <row r="15">
      <c r="A15" s="3" t="inlineStr">
        <is>
          <t>Gap decomposition — fill after the finance review (must sum to the unexplained gap):</t>
        </is>
      </c>
    </row>
    <row r="16">
      <c r="A16" s="5" t="inlineStr">
        <is>
          <t>Unbilled WIP / billing lag ($K)</t>
        </is>
      </c>
      <c r="B16" s="23" t="n">
        <v>0</v>
      </c>
    </row>
    <row r="17">
      <c r="A17" s="5" t="inlineStr">
        <is>
          <t>Write-offs &amp; discounts ($K)</t>
        </is>
      </c>
      <c r="B17" s="23" t="n">
        <v>0</v>
      </c>
    </row>
    <row r="18">
      <c r="A18" s="5" t="inlineStr">
        <is>
          <t>Internal work at reduced transfer rates ($K)</t>
        </is>
      </c>
      <c r="B18" s="23" t="n">
        <v>0</v>
      </c>
    </row>
    <row r="19">
      <c r="A19" s="5" t="inlineStr">
        <is>
          <t>Other / unreconciled ($K)</t>
        </is>
      </c>
      <c r="B19" s="23" t="n">
        <v>0</v>
      </c>
    </row>
    <row r="20">
      <c r="A20" t="inlineStr">
        <is>
          <t>Decomposition vs gap</t>
        </is>
      </c>
      <c r="B20" s="24">
        <f>SUM(B16:B19)-B13</f>
        <v/>
      </c>
      <c r="C20" s="2" t="inlineStr">
        <is>
          <t>should be 0 when fully explained</t>
        </is>
      </c>
    </row>
    <row r="23">
      <c r="A23" s="3" t="inlineStr">
        <is>
          <t>Annualized revenue grid ($K) — current roster, utilization × realization</t>
        </is>
      </c>
    </row>
    <row r="24">
      <c r="A24" s="2" t="inlineStr">
        <is>
          <t>Utilization ↓ / Realization →</t>
        </is>
      </c>
      <c r="B24" s="25" t="n">
        <v>0.6</v>
      </c>
      <c r="C24" s="25" t="n">
        <v>0.75</v>
      </c>
      <c r="D24" s="25" t="n">
        <v>0.9</v>
      </c>
      <c r="E24" s="25" t="n">
        <v>1</v>
      </c>
    </row>
    <row r="25">
      <c r="A25" s="25" t="n">
        <v>0.59</v>
      </c>
      <c r="B25" s="26">
        <f>Assumptions!B7*Assumptions!B5*$A25*B$24*$B$8/1000</f>
        <v/>
      </c>
      <c r="C25" s="26">
        <f>Assumptions!B7*Assumptions!B5*$A25*C$24*$B$8/1000</f>
        <v/>
      </c>
      <c r="D25" s="26">
        <f>Assumptions!B7*Assumptions!B5*$A25*D$24*$B$8/1000</f>
        <v/>
      </c>
      <c r="E25" s="26">
        <f>Assumptions!B7*Assumptions!B5*$A25*E$24*$B$8/1000</f>
        <v/>
      </c>
    </row>
    <row r="26">
      <c r="A26" s="25" t="n">
        <v>0.65</v>
      </c>
      <c r="B26" s="26">
        <f>Assumptions!B7*Assumptions!B5*$A26*B$24*$B$8/1000</f>
        <v/>
      </c>
      <c r="C26" s="26">
        <f>Assumptions!B7*Assumptions!B5*$A26*C$24*$B$8/1000</f>
        <v/>
      </c>
      <c r="D26" s="26">
        <f>Assumptions!B7*Assumptions!B5*$A26*D$24*$B$8/1000</f>
        <v/>
      </c>
      <c r="E26" s="26">
        <f>Assumptions!B7*Assumptions!B5*$A26*E$24*$B$8/1000</f>
        <v/>
      </c>
    </row>
    <row r="27">
      <c r="A27" s="25" t="n">
        <v>0.7</v>
      </c>
      <c r="B27" s="26">
        <f>Assumptions!B7*Assumptions!B5*$A27*B$24*$B$8/1000</f>
        <v/>
      </c>
      <c r="C27" s="26">
        <f>Assumptions!B7*Assumptions!B5*$A27*C$24*$B$8/1000</f>
        <v/>
      </c>
      <c r="D27" s="26">
        <f>Assumptions!B7*Assumptions!B5*$A27*D$24*$B$8/1000</f>
        <v/>
      </c>
      <c r="E27" s="26">
        <f>Assumptions!B7*Assumptions!B5*$A27*E$24*$B$8/1000</f>
        <v/>
      </c>
    </row>
    <row r="28">
      <c r="A28" s="25" t="n">
        <v>0.75</v>
      </c>
      <c r="B28" s="26">
        <f>Assumptions!B7*Assumptions!B5*$A28*B$24*$B$8/1000</f>
        <v/>
      </c>
      <c r="C28" s="26">
        <f>Assumptions!B7*Assumptions!B5*$A28*C$24*$B$8/1000</f>
        <v/>
      </c>
      <c r="D28" s="26">
        <f>Assumptions!B7*Assumptions!B5*$A28*D$24*$B$8/1000</f>
        <v/>
      </c>
      <c r="E28" s="26">
        <f>Assumptions!B7*Assumptions!B5*$A28*E$24*$B$8/1000</f>
        <v/>
      </c>
    </row>
    <row r="30">
      <c r="A30" s="2" t="inlineStr">
        <is>
          <t>Grid = active billable FTEs × hrs/FTE-yr × utilization × realization × blended card rate, in $K.</t>
        </is>
      </c>
    </row>
    <row r="31">
      <c r="A31" s="2" t="inlineStr">
        <is>
          <t>Bottom-right cell (75% util, 100% realization) shows current-roster ceiling; compare against the $6,000K Year-2 goal</t>
        </is>
      </c>
    </row>
    <row r="32">
      <c r="A32" s="2" t="inlineStr">
        <is>
          <t>to size the hiring plan (Phase 2). Timing caveat: hours run through 7/11 while revenue runs through 5/31 —</t>
        </is>
      </c>
    </row>
    <row r="33">
      <c r="A33" s="2" t="inlineStr">
        <is>
          <t>the adjustment factor on Assumptions handles this; refine when finance provides hours-matched revenue.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22"/>
  <sheetViews>
    <sheetView workbookViewId="0">
      <selection activeCell="A1" sqref="A1"/>
    </sheetView>
  </sheetViews>
  <sheetFormatPr baseColWidth="8" defaultRowHeight="15"/>
  <cols>
    <col width="90" customWidth="1" min="1" max="1"/>
    <col width="12" customWidth="1" min="2" max="2"/>
    <col width="12" customWidth="1" min="3" max="3"/>
    <col width="10" customWidth="1" min="4" max="4"/>
  </cols>
  <sheetData>
    <row r="1">
      <c r="A1" s="1" t="inlineStr">
        <is>
          <t>Tie-outs to the KPI report and open questions</t>
        </is>
      </c>
    </row>
    <row r="4">
      <c r="A4" s="4" t="inlineStr">
        <is>
          <t>Check</t>
        </is>
      </c>
      <c r="B4" s="4" t="inlineStr">
        <is>
          <t>Model</t>
        </is>
      </c>
      <c r="C4" s="4" t="inlineStr">
        <is>
          <t>KPI report</t>
        </is>
      </c>
      <c r="D4" s="4" t="inlineStr">
        <is>
          <t>Status</t>
        </is>
      </c>
    </row>
    <row r="5">
      <c r="A5" s="5" t="inlineStr">
        <is>
          <t>CVR revenue YTD ($K)</t>
        </is>
      </c>
      <c r="B5" s="11">
        <f>'Baseline P&amp;L'!G5</f>
        <v/>
      </c>
      <c r="C5" s="11" t="n">
        <v>426.7</v>
      </c>
      <c r="D5" s="5">
        <f>IF(ABS(B5-C5)&lt;=1.0,"TIES","CHECK")</f>
        <v/>
      </c>
    </row>
    <row r="6">
      <c r="A6" s="5" t="inlineStr">
        <is>
          <t>CVR gross profit YTD ($K)</t>
        </is>
      </c>
      <c r="B6" s="11">
        <f>'Baseline P&amp;L'!G7</f>
        <v/>
      </c>
      <c r="C6" s="11" t="n">
        <v>76.8</v>
      </c>
      <c r="D6" s="5">
        <f>IF(ABS(B6-C6)&lt;=1.0,"TIES","CHECK")</f>
        <v/>
      </c>
    </row>
    <row r="7">
      <c r="A7" s="5" t="inlineStr">
        <is>
          <t>CVR net income YTD ($K)</t>
        </is>
      </c>
      <c r="B7" s="11">
        <f>'Baseline P&amp;L'!G10</f>
        <v/>
      </c>
      <c r="C7" s="11" t="n">
        <v>-304.7</v>
      </c>
      <c r="D7" s="5">
        <f>IF(ABS(B7-C7)&lt;=1.0,"TIES","CHECK")</f>
        <v/>
      </c>
    </row>
    <row r="8">
      <c r="A8" s="5" t="inlineStr">
        <is>
          <t>EPC revenue YTD ($K)</t>
        </is>
      </c>
      <c r="B8" s="11">
        <f>'HWC EPC Baseline'!G5</f>
        <v/>
      </c>
      <c r="C8" s="11" t="n">
        <v>1172.4</v>
      </c>
      <c r="D8" s="5">
        <f>IF(ABS(B8-C8)&lt;=1.0,"TIES","CHECK")</f>
        <v/>
      </c>
    </row>
    <row r="9">
      <c r="A9" s="5" t="inlineStr">
        <is>
          <t>EPC net profit YTD ($K)</t>
        </is>
      </c>
      <c r="B9" s="11">
        <f>'HWC EPC Baseline'!G6</f>
        <v/>
      </c>
      <c r="C9" s="11" t="n">
        <v>-2109.3</v>
      </c>
      <c r="D9" s="5">
        <f>IF(ABS(B9-C9)&lt;=1.0,"TIES","CHECK")</f>
        <v/>
      </c>
    </row>
    <row r="10">
      <c r="A10" s="5" t="inlineStr">
        <is>
          <t>Billable hours YTD</t>
        </is>
      </c>
      <c r="B10" s="11">
        <f>'Roster &amp; Hours'!I18</f>
        <v/>
      </c>
      <c r="C10" s="11" t="n">
        <v>4747</v>
      </c>
      <c r="D10" s="5">
        <f>IF(ABS(B10-C10)&lt;=60,"TIES","CHECK")</f>
        <v/>
      </c>
    </row>
    <row r="11">
      <c r="A11" s="2" t="inlineStr">
        <is>
          <t>Billable-hours tolerance is wider: ~193 hrs on the KPI page are not attributed to a named employee.</t>
        </is>
      </c>
    </row>
    <row r="13">
      <c r="A13" s="3" t="inlineStr">
        <is>
          <t>OPEN ITEMS (Phase 1 exit criteria)</t>
        </is>
      </c>
    </row>
    <row r="14">
      <c r="A14" t="inlineStr">
        <is>
          <t>• Finance: fringe/benefit load %, salaries for loaded-cost-vs-bill-rate margin by role.</t>
        </is>
      </c>
    </row>
    <row r="15">
      <c r="A15" t="inlineStr">
        <is>
          <t>• Finance: USC corporate overhead allocation methodology and current CVR allocation.</t>
        </is>
      </c>
    </row>
    <row r="16">
      <c r="A16" t="inlineStr">
        <is>
          <t>• Finance: interest expense basis for OILI.</t>
        </is>
      </c>
    </row>
    <row r="17">
      <c r="A17" t="inlineStr">
        <is>
          <t>• Finance: transfer-pricing treatment of CVR hours on USC/HWC jobs — primary suspect for the realization gap.</t>
        </is>
      </c>
    </row>
    <row r="18">
      <c r="A18" t="inlineStr">
        <is>
          <t>• Confirm billing classifications for Taylor Nelson and Kevin Metts (not on the org chart).</t>
        </is>
      </c>
    </row>
    <row r="19">
      <c r="A19" t="inlineStr">
        <is>
          <t>• Confirm billing classification used for VP Engineering time (assumed Principal Engineer).</t>
        </is>
      </c>
    </row>
    <row r="20">
      <c r="A20" t="inlineStr">
        <is>
          <t>• Tom Little, Erin Bryden, Patrick Nicholson show no hours on the KPI utilization page — confirm where their time goes.</t>
        </is>
      </c>
    </row>
    <row r="21">
      <c r="A21" t="inlineStr">
        <is>
          <t>• Decompose the realization gap (Realization tab) once finance data arrives.</t>
        </is>
      </c>
    </row>
    <row r="22">
      <c r="A22" t="inlineStr">
        <is>
          <t>• Confirm the 2026 CVR budget behind the KPI report's budget lines.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2026-07-14T13:53:55Z</dcterms:created>
  <dcterms:modified xsi:type="dcterms:W3CDTF">2026-07-14T13:53:55Z</dcterms:modified>
</cp:coreProperties>
</file>