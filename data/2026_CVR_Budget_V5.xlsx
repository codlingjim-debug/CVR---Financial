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p1-usc\Accounting_SharePoint\Archive\General Accounting\CVR Engineering\Budget\2026\"/>
    </mc:Choice>
  </mc:AlternateContent>
  <xr:revisionPtr revIDLastSave="0" documentId="13_ncr:1_{50E4DBB8-E74B-4F92-9C90-7E2BCE6A74B4}" xr6:coauthVersionLast="47" xr6:coauthVersionMax="47" xr10:uidLastSave="{00000000-0000-0000-0000-000000000000}"/>
  <workbookProtection workbookAlgorithmName="SHA-512" workbookHashValue="/TVn0Uinx7CPUQReOSlNpenfLagnuI2p0i+s6Q0tb7CTzfQFddRfB2SKt0yDCmviM1gxn5YsfHZKe5EeLkbbkw==" workbookSaltValue="+w28LCythC3ix6qExO+GEg==" workbookSpinCount="100000" lockStructure="1"/>
  <bookViews>
    <workbookView xWindow="-38520" yWindow="-120" windowWidth="38640" windowHeight="21120" tabRatio="927" activeTab="1" xr2:uid="{00000000-000D-0000-FFFF-FFFF00000000}"/>
  </bookViews>
  <sheets>
    <sheet name="Key Assumptions" sheetId="39" r:id="rId1"/>
    <sheet name="CVRIS" sheetId="2" r:id="rId2"/>
    <sheet name="CVRBS" sheetId="3" r:id="rId3"/>
    <sheet name="CVRSCF" sheetId="4" r:id="rId4"/>
    <sheet name="Labor" sheetId="42" r:id="rId5"/>
    <sheet name="Operating Exp" sheetId="11" r:id="rId6"/>
    <sheet name="Corp OH Alloc &amp; Interest Exp" sheetId="7" r:id="rId7"/>
    <sheet name="06-60 EPC" sheetId="34" r:id="rId8"/>
    <sheet name="Labor Rates-DP" sheetId="30" r:id="rId9"/>
    <sheet name="Revenue and Direct Lbr" sheetId="1" r:id="rId10"/>
    <sheet name="WIP &amp; AP" sheetId="17" r:id="rId11"/>
    <sheet name="AR Turns" sheetId="13" r:id="rId12"/>
    <sheet name="06-40 ITC Ware" sheetId="27" state="hidden" r:id="rId13"/>
  </sheets>
  <externalReferences>
    <externalReference r:id="rId14"/>
    <externalReference r:id="rId15"/>
  </externalReferences>
  <definedNames>
    <definedName name="__123Graph_A" localSheetId="7" hidden="1">CVRIS!#REF!</definedName>
    <definedName name="__123Graph_A" localSheetId="4" hidden="1">[1]HWIS!#REF!</definedName>
    <definedName name="__123Graph_A" hidden="1">CVRIS!#REF!</definedName>
    <definedName name="__123Graph_B" localSheetId="7" hidden="1">CVRIS!#REF!</definedName>
    <definedName name="__123Graph_B" localSheetId="4" hidden="1">[1]HWIS!#REF!</definedName>
    <definedName name="__123Graph_B" hidden="1">CVRIS!#REF!</definedName>
    <definedName name="__123Graph_C" localSheetId="7" hidden="1">CVRIS!#REF!</definedName>
    <definedName name="__123Graph_C" localSheetId="4" hidden="1">[1]HWIS!#REF!</definedName>
    <definedName name="__123Graph_C" hidden="1">CVRIS!#REF!</definedName>
    <definedName name="__123Graph_D" localSheetId="7" hidden="1">CVRIS!#REF!</definedName>
    <definedName name="__123Graph_D" localSheetId="4" hidden="1">[1]HWIS!#REF!</definedName>
    <definedName name="__123Graph_D" hidden="1">CVRIS!#REF!</definedName>
    <definedName name="_xlnm._FilterDatabase" localSheetId="4" hidden="1">Labor!$A$1:$W$10</definedName>
    <definedName name="ALL">CVRIS!$A$1:$A$73</definedName>
    <definedName name="new" localSheetId="7" hidden="1">[2]HWIS!#REF!</definedName>
    <definedName name="new" hidden="1">[2]HWIS!#REF!</definedName>
    <definedName name="_xlnm.Print_Area" localSheetId="2">CVRBS!$A$1:$F$75</definedName>
    <definedName name="_xlnm.Print_Area" localSheetId="1">CVRIS!$A$1:$U$73</definedName>
    <definedName name="_xlnm.Print_Area" localSheetId="5">'Operating Exp'!$A$1:$Y$47</definedName>
    <definedName name="_xlnm.Print_Area" localSheetId="9">'Revenue and Direct Lbr'!$A$1:$AZ$34</definedName>
    <definedName name="_xlnm.Print_Area">CVRIS!$A$1:$A$73</definedName>
    <definedName name="PRINT_AREA_MI">CVRIS!$A$1:$A$73</definedName>
    <definedName name="_xlnm.Print_Titles" localSheetId="2">CVRBS!$1:$3</definedName>
    <definedName name="_xlnm.Print_Titles" localSheetId="1">CVRIS!$1:$3</definedName>
    <definedName name="_xlnm.Print_Titles" localSheetId="9">'Revenue and Direct Lbr'!$3:$6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7" l="1"/>
  <c r="F38" i="3"/>
  <c r="E54" i="3"/>
  <c r="V18" i="42"/>
  <c r="O28" i="11"/>
  <c r="E41" i="3"/>
  <c r="E39" i="3"/>
  <c r="D74" i="3"/>
  <c r="D64" i="3"/>
  <c r="D63" i="3"/>
  <c r="B38" i="3"/>
  <c r="B64" i="3"/>
  <c r="D38" i="3"/>
  <c r="F22" i="2" l="1"/>
  <c r="I48" i="30"/>
  <c r="E30" i="30"/>
  <c r="D30" i="30"/>
  <c r="F30" i="30"/>
  <c r="L30" i="30"/>
  <c r="C8" i="30"/>
  <c r="C9" i="30"/>
  <c r="C13" i="30"/>
  <c r="C15" i="30"/>
  <c r="C16" i="30"/>
  <c r="C17" i="30"/>
  <c r="D31" i="30"/>
  <c r="D32" i="30"/>
  <c r="D33" i="30"/>
  <c r="D34" i="30"/>
  <c r="D35" i="30"/>
  <c r="D36" i="30"/>
  <c r="D37" i="30"/>
  <c r="D38" i="30"/>
  <c r="D39" i="30"/>
  <c r="D40" i="30"/>
  <c r="D41" i="30"/>
  <c r="E31" i="30"/>
  <c r="E32" i="30"/>
  <c r="E33" i="30"/>
  <c r="E34" i="30"/>
  <c r="E35" i="30"/>
  <c r="E36" i="30"/>
  <c r="E37" i="30"/>
  <c r="E38" i="30"/>
  <c r="E39" i="30"/>
  <c r="E40" i="30"/>
  <c r="E41" i="30"/>
  <c r="H7" i="42"/>
  <c r="H3" i="42"/>
  <c r="H4" i="42"/>
  <c r="H5" i="42"/>
  <c r="H6" i="42"/>
  <c r="H8" i="42"/>
  <c r="H9" i="42"/>
  <c r="H10" i="42"/>
  <c r="H11" i="42"/>
  <c r="H12" i="42"/>
  <c r="H13" i="42"/>
  <c r="H2" i="42"/>
  <c r="B6" i="30" s="1"/>
  <c r="C6" i="30" s="1"/>
  <c r="D7" i="30"/>
  <c r="D8" i="30"/>
  <c r="D9" i="30"/>
  <c r="D10" i="30"/>
  <c r="D11" i="30"/>
  <c r="D12" i="30"/>
  <c r="D13" i="30"/>
  <c r="D14" i="30"/>
  <c r="D15" i="30"/>
  <c r="D16" i="30"/>
  <c r="D17" i="30"/>
  <c r="D6" i="30"/>
  <c r="F17" i="4"/>
  <c r="F15" i="4"/>
  <c r="W2" i="42" l="1"/>
  <c r="I30" i="30" l="1"/>
  <c r="O19" i="30"/>
  <c r="E18" i="2" l="1"/>
  <c r="G13" i="2"/>
  <c r="C13" i="11"/>
  <c r="D13" i="11"/>
  <c r="E13" i="11"/>
  <c r="F13" i="11"/>
  <c r="G13" i="11"/>
  <c r="H13" i="11"/>
  <c r="I13" i="11"/>
  <c r="J13" i="11"/>
  <c r="K13" i="11"/>
  <c r="L13" i="11"/>
  <c r="M13" i="11"/>
  <c r="B13" i="11"/>
  <c r="O35" i="11"/>
  <c r="O19" i="11"/>
  <c r="P24" i="30" l="1"/>
  <c r="E6" i="30"/>
  <c r="C24" i="30" l="1"/>
  <c r="N30" i="30"/>
  <c r="D39" i="39" l="1"/>
  <c r="C55" i="39" l="1"/>
  <c r="B55" i="39"/>
  <c r="D23" i="39"/>
  <c r="C58" i="39"/>
  <c r="D58" i="39"/>
  <c r="C54" i="39"/>
  <c r="D54" i="39"/>
  <c r="C48" i="39"/>
  <c r="D48" i="39"/>
  <c r="C38" i="39"/>
  <c r="D38" i="39"/>
  <c r="C34" i="39"/>
  <c r="D34" i="39"/>
  <c r="D21" i="13"/>
  <c r="D17" i="13"/>
  <c r="D15" i="13"/>
  <c r="D11" i="13"/>
  <c r="D13" i="13" s="1"/>
  <c r="E9" i="13"/>
  <c r="D9" i="13"/>
  <c r="C5" i="13"/>
  <c r="B5" i="13"/>
  <c r="D5" i="13"/>
  <c r="C5" i="17"/>
  <c r="B5" i="17"/>
  <c r="P32" i="11"/>
  <c r="Q9" i="11"/>
  <c r="P9" i="11" s="1"/>
  <c r="Q10" i="11"/>
  <c r="P10" i="11" s="1"/>
  <c r="Q11" i="11"/>
  <c r="P11" i="11" s="1"/>
  <c r="Q12" i="11"/>
  <c r="P12" i="11" s="1"/>
  <c r="Q13" i="11"/>
  <c r="P13" i="11" s="1"/>
  <c r="Q14" i="11"/>
  <c r="P14" i="11" s="1"/>
  <c r="O14" i="11" s="1"/>
  <c r="Q15" i="11"/>
  <c r="P15" i="11" s="1"/>
  <c r="O15" i="11" s="1"/>
  <c r="Q16" i="11"/>
  <c r="P16" i="11" s="1"/>
  <c r="Q17" i="11"/>
  <c r="P17" i="11" s="1"/>
  <c r="O17" i="11" s="1"/>
  <c r="Q18" i="11"/>
  <c r="P18" i="11" s="1"/>
  <c r="O18" i="11" s="1"/>
  <c r="Q19" i="11"/>
  <c r="P19" i="11" s="1"/>
  <c r="Q20" i="11"/>
  <c r="P20" i="11" s="1"/>
  <c r="Q21" i="11"/>
  <c r="P21" i="11" s="1"/>
  <c r="O21" i="11" s="1"/>
  <c r="Q22" i="11"/>
  <c r="P22" i="11" s="1"/>
  <c r="O22" i="11" s="1"/>
  <c r="Q23" i="11"/>
  <c r="P23" i="11" s="1"/>
  <c r="Q24" i="11"/>
  <c r="P24" i="11" s="1"/>
  <c r="Q25" i="11"/>
  <c r="P25" i="11" s="1"/>
  <c r="O25" i="11" s="1"/>
  <c r="Q26" i="11"/>
  <c r="P26" i="11" s="1"/>
  <c r="Q27" i="11"/>
  <c r="P27" i="11" s="1"/>
  <c r="Q28" i="11"/>
  <c r="P28" i="11" s="1"/>
  <c r="Q29" i="11"/>
  <c r="P29" i="11" s="1"/>
  <c r="Q30" i="11"/>
  <c r="P30" i="11" s="1"/>
  <c r="O30" i="11" s="1"/>
  <c r="Q31" i="11"/>
  <c r="P31" i="11" s="1"/>
  <c r="O31" i="11" s="1"/>
  <c r="Q32" i="11"/>
  <c r="Q33" i="11"/>
  <c r="P33" i="11" s="1"/>
  <c r="Q34" i="11"/>
  <c r="P34" i="11" s="1"/>
  <c r="Q35" i="11"/>
  <c r="P35" i="11" s="1"/>
  <c r="Q36" i="11"/>
  <c r="P36" i="11" s="1"/>
  <c r="Q37" i="11"/>
  <c r="P37" i="11" s="1"/>
  <c r="Q38" i="11"/>
  <c r="P38" i="11" s="1"/>
  <c r="Q39" i="11"/>
  <c r="P39" i="11" s="1"/>
  <c r="Q40" i="11"/>
  <c r="P40" i="11" s="1"/>
  <c r="O40" i="11" s="1"/>
  <c r="Q41" i="11"/>
  <c r="P41" i="11" s="1"/>
  <c r="O41" i="11" s="1"/>
  <c r="Q42" i="11"/>
  <c r="P42" i="11" s="1"/>
  <c r="Q43" i="11"/>
  <c r="P43" i="11" s="1"/>
  <c r="O43" i="11" s="1"/>
  <c r="Q44" i="11"/>
  <c r="P44" i="11" s="1"/>
  <c r="Q8" i="11"/>
  <c r="P8" i="11" s="1"/>
  <c r="Y8" i="11"/>
  <c r="X8" i="11"/>
  <c r="W8" i="11"/>
  <c r="V3" i="11"/>
  <c r="M43" i="11" l="1"/>
  <c r="K43" i="11"/>
  <c r="B43" i="11"/>
  <c r="C43" i="11"/>
  <c r="L43" i="11"/>
  <c r="D43" i="11"/>
  <c r="E43" i="11"/>
  <c r="F43" i="11"/>
  <c r="G43" i="11"/>
  <c r="H43" i="11"/>
  <c r="I43" i="11"/>
  <c r="J43" i="11"/>
  <c r="E41" i="11"/>
  <c r="C41" i="11"/>
  <c r="D41" i="11"/>
  <c r="B41" i="11"/>
  <c r="M41" i="11"/>
  <c r="L41" i="11"/>
  <c r="I41" i="11"/>
  <c r="F41" i="11"/>
  <c r="H41" i="11"/>
  <c r="K41" i="11"/>
  <c r="G41" i="11"/>
  <c r="J41" i="11"/>
  <c r="E40" i="11"/>
  <c r="G40" i="11"/>
  <c r="M40" i="11"/>
  <c r="J40" i="11"/>
  <c r="I40" i="11"/>
  <c r="C40" i="11"/>
  <c r="H40" i="11"/>
  <c r="L40" i="11"/>
  <c r="K40" i="11"/>
  <c r="F40" i="11"/>
  <c r="D40" i="11"/>
  <c r="B40" i="11"/>
  <c r="C31" i="11"/>
  <c r="I31" i="11"/>
  <c r="B31" i="11"/>
  <c r="D31" i="11"/>
  <c r="G31" i="11"/>
  <c r="H31" i="11"/>
  <c r="J31" i="11"/>
  <c r="K31" i="11"/>
  <c r="M31" i="11"/>
  <c r="E31" i="11"/>
  <c r="F31" i="11"/>
  <c r="L31" i="11"/>
  <c r="D30" i="11"/>
  <c r="G30" i="11"/>
  <c r="K30" i="11"/>
  <c r="L30" i="11"/>
  <c r="M30" i="11"/>
  <c r="C30" i="11"/>
  <c r="E30" i="11"/>
  <c r="H30" i="11"/>
  <c r="I30" i="11"/>
  <c r="B30" i="11"/>
  <c r="F30" i="11"/>
  <c r="J30" i="11"/>
  <c r="H25" i="11"/>
  <c r="I25" i="11"/>
  <c r="J25" i="11"/>
  <c r="K25" i="11"/>
  <c r="L25" i="11"/>
  <c r="M25" i="11"/>
  <c r="B25" i="11"/>
  <c r="C25" i="11"/>
  <c r="D25" i="11"/>
  <c r="E25" i="11"/>
  <c r="F25" i="11"/>
  <c r="G25" i="11"/>
  <c r="I22" i="11"/>
  <c r="G22" i="11"/>
  <c r="J22" i="11"/>
  <c r="L22" i="11"/>
  <c r="M22" i="11"/>
  <c r="D22" i="11"/>
  <c r="E22" i="11"/>
  <c r="K22" i="11"/>
  <c r="B22" i="11"/>
  <c r="H22" i="11"/>
  <c r="C22" i="11"/>
  <c r="F22" i="11"/>
  <c r="J21" i="11"/>
  <c r="M21" i="11"/>
  <c r="E21" i="11"/>
  <c r="G21" i="11"/>
  <c r="I21" i="11"/>
  <c r="K21" i="11"/>
  <c r="L21" i="11"/>
  <c r="F21" i="11"/>
  <c r="B21" i="11"/>
  <c r="H21" i="11"/>
  <c r="C21" i="11"/>
  <c r="D21" i="11"/>
  <c r="B18" i="11"/>
  <c r="D18" i="11"/>
  <c r="K18" i="11"/>
  <c r="I18" i="11"/>
  <c r="J18" i="11"/>
  <c r="E18" i="11"/>
  <c r="H18" i="11"/>
  <c r="G18" i="11"/>
  <c r="L18" i="11"/>
  <c r="F18" i="11"/>
  <c r="C18" i="11"/>
  <c r="M18" i="11"/>
  <c r="M17" i="11"/>
  <c r="E17" i="11"/>
  <c r="F17" i="11"/>
  <c r="B17" i="11"/>
  <c r="L17" i="11"/>
  <c r="C17" i="11"/>
  <c r="K17" i="11"/>
  <c r="G17" i="11"/>
  <c r="J17" i="11"/>
  <c r="I17" i="11"/>
  <c r="D17" i="11"/>
  <c r="H17" i="11"/>
  <c r="C15" i="11"/>
  <c r="H15" i="11"/>
  <c r="D15" i="11"/>
  <c r="M15" i="11"/>
  <c r="K15" i="11"/>
  <c r="J15" i="11"/>
  <c r="B15" i="11"/>
  <c r="I15" i="11"/>
  <c r="F15" i="11"/>
  <c r="G15" i="11"/>
  <c r="L15" i="11"/>
  <c r="E15" i="11"/>
  <c r="K14" i="11"/>
  <c r="D14" i="11"/>
  <c r="L14" i="11"/>
  <c r="C14" i="11"/>
  <c r="F14" i="11"/>
  <c r="I14" i="11"/>
  <c r="M14" i="11"/>
  <c r="H14" i="11"/>
  <c r="B14" i="11"/>
  <c r="E14" i="11"/>
  <c r="G14" i="11"/>
  <c r="J14" i="11"/>
  <c r="Q45" i="11"/>
  <c r="F41" i="30"/>
  <c r="F40" i="30"/>
  <c r="I40" i="30" s="1"/>
  <c r="F39" i="30"/>
  <c r="I39" i="30" s="1"/>
  <c r="F38" i="30"/>
  <c r="I38" i="30" s="1"/>
  <c r="F37" i="30"/>
  <c r="I37" i="30" s="1"/>
  <c r="F36" i="30"/>
  <c r="I36" i="30" s="1"/>
  <c r="F35" i="30"/>
  <c r="I35" i="30" s="1"/>
  <c r="F34" i="30"/>
  <c r="I34" i="30" s="1"/>
  <c r="F33" i="30"/>
  <c r="I33" i="30" s="1"/>
  <c r="F32" i="30"/>
  <c r="I32" i="30" s="1"/>
  <c r="F31" i="30"/>
  <c r="I31" i="30" s="1"/>
  <c r="F6" i="30"/>
  <c r="M3" i="42"/>
  <c r="M4" i="42"/>
  <c r="M6" i="42"/>
  <c r="M7" i="42"/>
  <c r="M8" i="42"/>
  <c r="M9" i="42"/>
  <c r="M10" i="42"/>
  <c r="M11" i="42"/>
  <c r="I41" i="30" l="1"/>
  <c r="F45" i="30"/>
  <c r="I46" i="30"/>
  <c r="A16" i="42"/>
  <c r="J27" i="2"/>
  <c r="K27" i="2"/>
  <c r="L27" i="2"/>
  <c r="M27" i="2"/>
  <c r="N27" i="2"/>
  <c r="O27" i="2"/>
  <c r="P27" i="2"/>
  <c r="Q27" i="2"/>
  <c r="R27" i="2"/>
  <c r="S27" i="2"/>
  <c r="J29" i="2"/>
  <c r="K29" i="2"/>
  <c r="L29" i="2"/>
  <c r="M29" i="2"/>
  <c r="N29" i="2"/>
  <c r="O29" i="2"/>
  <c r="P29" i="2"/>
  <c r="Q29" i="2"/>
  <c r="R29" i="2"/>
  <c r="S29" i="2"/>
  <c r="J31" i="2"/>
  <c r="K31" i="2"/>
  <c r="L31" i="2"/>
  <c r="M31" i="2"/>
  <c r="N31" i="2"/>
  <c r="O31" i="2"/>
  <c r="P31" i="2"/>
  <c r="Q31" i="2"/>
  <c r="R31" i="2"/>
  <c r="S31" i="2"/>
  <c r="J32" i="2"/>
  <c r="K32" i="2"/>
  <c r="L32" i="2"/>
  <c r="M32" i="2"/>
  <c r="N32" i="2"/>
  <c r="O32" i="2"/>
  <c r="P32" i="2"/>
  <c r="Q32" i="2"/>
  <c r="R32" i="2"/>
  <c r="S32" i="2"/>
  <c r="J55" i="2"/>
  <c r="K55" i="2"/>
  <c r="L55" i="2"/>
  <c r="M55" i="2"/>
  <c r="N55" i="2"/>
  <c r="O55" i="2"/>
  <c r="P55" i="2"/>
  <c r="Q55" i="2"/>
  <c r="R55" i="2"/>
  <c r="S55" i="2"/>
  <c r="J57" i="2"/>
  <c r="K57" i="2"/>
  <c r="L57" i="2"/>
  <c r="M57" i="2"/>
  <c r="N57" i="2"/>
  <c r="O57" i="2"/>
  <c r="P57" i="2"/>
  <c r="Q57" i="2"/>
  <c r="R57" i="2"/>
  <c r="S57" i="2"/>
  <c r="I27" i="2"/>
  <c r="I29" i="2"/>
  <c r="I31" i="2"/>
  <c r="I32" i="2"/>
  <c r="I55" i="2"/>
  <c r="I57" i="2"/>
  <c r="H27" i="2"/>
  <c r="H29" i="2"/>
  <c r="H31" i="2"/>
  <c r="H32" i="2"/>
  <c r="H55" i="2"/>
  <c r="H57" i="2"/>
  <c r="N17" i="11"/>
  <c r="N15" i="11"/>
  <c r="N13" i="11"/>
  <c r="N41" i="11"/>
  <c r="N43" i="11"/>
  <c r="X3" i="11"/>
  <c r="W3" i="11"/>
  <c r="W9" i="11"/>
  <c r="X9" i="11"/>
  <c r="Y9" i="11"/>
  <c r="W10" i="11"/>
  <c r="X10" i="11"/>
  <c r="Y10" i="11"/>
  <c r="W11" i="11"/>
  <c r="X11" i="11"/>
  <c r="Y11" i="11"/>
  <c r="W12" i="11"/>
  <c r="X12" i="11"/>
  <c r="Y12" i="11"/>
  <c r="W13" i="11"/>
  <c r="X13" i="11"/>
  <c r="Y13" i="11"/>
  <c r="W14" i="11"/>
  <c r="X14" i="11"/>
  <c r="Y14" i="11"/>
  <c r="W15" i="11"/>
  <c r="X15" i="11"/>
  <c r="Y15" i="11"/>
  <c r="W16" i="11"/>
  <c r="X16" i="11"/>
  <c r="Y16" i="11"/>
  <c r="W17" i="11"/>
  <c r="X17" i="11"/>
  <c r="Y17" i="11"/>
  <c r="W18" i="11"/>
  <c r="X18" i="11"/>
  <c r="Y18" i="11"/>
  <c r="W19" i="11"/>
  <c r="X19" i="11"/>
  <c r="Y19" i="11"/>
  <c r="W20" i="11"/>
  <c r="X20" i="11"/>
  <c r="Y20" i="11"/>
  <c r="W21" i="11"/>
  <c r="X21" i="11"/>
  <c r="Y21" i="11"/>
  <c r="W22" i="11"/>
  <c r="X22" i="11"/>
  <c r="Y22" i="11"/>
  <c r="W23" i="11"/>
  <c r="X23" i="11"/>
  <c r="Y23" i="11"/>
  <c r="W24" i="11"/>
  <c r="X24" i="11"/>
  <c r="Y24" i="11"/>
  <c r="W25" i="11"/>
  <c r="X25" i="11"/>
  <c r="Y25" i="11"/>
  <c r="W26" i="11"/>
  <c r="X26" i="11"/>
  <c r="Y26" i="11"/>
  <c r="W27" i="11"/>
  <c r="X27" i="11"/>
  <c r="Y27" i="11"/>
  <c r="W28" i="11"/>
  <c r="X28" i="11"/>
  <c r="Y28" i="11"/>
  <c r="W29" i="11"/>
  <c r="X29" i="11"/>
  <c r="Y29" i="11"/>
  <c r="W30" i="11"/>
  <c r="X30" i="11"/>
  <c r="Y30" i="11"/>
  <c r="W31" i="11"/>
  <c r="X31" i="11"/>
  <c r="Y31" i="11"/>
  <c r="W32" i="11"/>
  <c r="X32" i="11"/>
  <c r="Y32" i="11"/>
  <c r="W33" i="11"/>
  <c r="X33" i="11"/>
  <c r="Y33" i="11"/>
  <c r="W34" i="11"/>
  <c r="X34" i="11"/>
  <c r="Y34" i="11"/>
  <c r="W35" i="11"/>
  <c r="X35" i="11"/>
  <c r="Y35" i="11"/>
  <c r="W36" i="11"/>
  <c r="X36" i="11"/>
  <c r="Y36" i="11"/>
  <c r="W37" i="11"/>
  <c r="X37" i="11"/>
  <c r="Y37" i="11"/>
  <c r="W38" i="11"/>
  <c r="X38" i="11"/>
  <c r="Y38" i="11"/>
  <c r="W39" i="11"/>
  <c r="X39" i="11"/>
  <c r="Y39" i="11"/>
  <c r="W40" i="11"/>
  <c r="X40" i="11"/>
  <c r="Y40" i="11"/>
  <c r="W41" i="11"/>
  <c r="X41" i="11"/>
  <c r="Y41" i="11"/>
  <c r="W42" i="11"/>
  <c r="X42" i="11"/>
  <c r="Y42" i="11"/>
  <c r="W43" i="11"/>
  <c r="X43" i="11"/>
  <c r="Y43" i="11"/>
  <c r="W44" i="11"/>
  <c r="X44" i="11"/>
  <c r="Y44" i="11"/>
  <c r="R45" i="11"/>
  <c r="S45" i="11"/>
  <c r="T45" i="11"/>
  <c r="U9" i="11" l="1"/>
  <c r="T27" i="2"/>
  <c r="T57" i="2"/>
  <c r="U44" i="11"/>
  <c r="U40" i="11"/>
  <c r="U36" i="11"/>
  <c r="U32" i="11"/>
  <c r="U28" i="11"/>
  <c r="U24" i="11"/>
  <c r="U20" i="11"/>
  <c r="U16" i="11"/>
  <c r="U12" i="11"/>
  <c r="U43" i="11"/>
  <c r="U39" i="11"/>
  <c r="U35" i="11"/>
  <c r="U31" i="11"/>
  <c r="U27" i="11"/>
  <c r="U23" i="11"/>
  <c r="U19" i="11"/>
  <c r="U15" i="11"/>
  <c r="U11" i="11"/>
  <c r="U42" i="11"/>
  <c r="U38" i="11"/>
  <c r="U34" i="11"/>
  <c r="U30" i="11"/>
  <c r="U26" i="11"/>
  <c r="U22" i="11"/>
  <c r="U18" i="11"/>
  <c r="U14" i="11"/>
  <c r="U10" i="11"/>
  <c r="U41" i="11"/>
  <c r="U37" i="11"/>
  <c r="U33" i="11"/>
  <c r="U29" i="11"/>
  <c r="U25" i="11"/>
  <c r="U21" i="11"/>
  <c r="U17" i="11"/>
  <c r="U13" i="11"/>
  <c r="L39" i="30"/>
  <c r="L37" i="30"/>
  <c r="L36" i="30"/>
  <c r="N19" i="30"/>
  <c r="O16" i="11" s="1"/>
  <c r="M19" i="30"/>
  <c r="O33" i="11" s="1"/>
  <c r="L19" i="30"/>
  <c r="K19" i="30"/>
  <c r="I19" i="30"/>
  <c r="O42" i="11" s="1"/>
  <c r="B42" i="11" s="1"/>
  <c r="J19" i="30"/>
  <c r="O39" i="11" s="1"/>
  <c r="H19" i="30"/>
  <c r="O23" i="11" s="1"/>
  <c r="P17" i="30"/>
  <c r="P16" i="30"/>
  <c r="P15" i="30"/>
  <c r="P14" i="30"/>
  <c r="P13" i="30"/>
  <c r="P12" i="30"/>
  <c r="P11" i="30"/>
  <c r="P10" i="30"/>
  <c r="P9" i="30"/>
  <c r="P8" i="30"/>
  <c r="P7" i="30"/>
  <c r="P6" i="30"/>
  <c r="N12" i="42"/>
  <c r="N13" i="42"/>
  <c r="N11" i="42"/>
  <c r="F3" i="42"/>
  <c r="F4" i="42"/>
  <c r="F5" i="42"/>
  <c r="F6" i="42"/>
  <c r="F7" i="42"/>
  <c r="F8" i="42"/>
  <c r="F10" i="42"/>
  <c r="F11" i="42"/>
  <c r="F12" i="42"/>
  <c r="F13" i="42"/>
  <c r="F2" i="42"/>
  <c r="N10" i="42"/>
  <c r="N7" i="42"/>
  <c r="N3" i="42"/>
  <c r="F9" i="42"/>
  <c r="N9" i="42"/>
  <c r="N8" i="42"/>
  <c r="N6" i="42"/>
  <c r="N5" i="42"/>
  <c r="N4" i="42"/>
  <c r="M2" i="42"/>
  <c r="N2" i="42" s="1"/>
  <c r="B16" i="30" l="1"/>
  <c r="W12" i="42"/>
  <c r="B10" i="30"/>
  <c r="C10" i="30" s="1"/>
  <c r="W6" i="42"/>
  <c r="B8" i="30"/>
  <c r="W4" i="42"/>
  <c r="W3" i="42"/>
  <c r="B7" i="30"/>
  <c r="C7" i="30" s="1"/>
  <c r="O12" i="42"/>
  <c r="S12" i="42"/>
  <c r="R12" i="42"/>
  <c r="Q12" i="42"/>
  <c r="P12" i="42"/>
  <c r="R6" i="42"/>
  <c r="O6" i="42"/>
  <c r="U6" i="42"/>
  <c r="S6" i="42"/>
  <c r="T6" i="42"/>
  <c r="P6" i="42"/>
  <c r="Q6" i="42"/>
  <c r="T4" i="42"/>
  <c r="P4" i="42"/>
  <c r="Q4" i="42"/>
  <c r="R4" i="42"/>
  <c r="O4" i="42"/>
  <c r="U4" i="42"/>
  <c r="S4" i="42"/>
  <c r="S3" i="42"/>
  <c r="T3" i="42"/>
  <c r="Q3" i="42"/>
  <c r="O3" i="42"/>
  <c r="U3" i="42"/>
  <c r="R3" i="42"/>
  <c r="P3" i="42"/>
  <c r="E42" i="11"/>
  <c r="K56" i="2" s="1"/>
  <c r="F42" i="11"/>
  <c r="L56" i="2" s="1"/>
  <c r="G42" i="11"/>
  <c r="M56" i="2" s="1"/>
  <c r="D42" i="11"/>
  <c r="J56" i="2" s="1"/>
  <c r="C42" i="11"/>
  <c r="I56" i="2" s="1"/>
  <c r="J42" i="11"/>
  <c r="P56" i="2" s="1"/>
  <c r="L42" i="11"/>
  <c r="R56" i="2" s="1"/>
  <c r="M42" i="11"/>
  <c r="S56" i="2" s="1"/>
  <c r="I42" i="11"/>
  <c r="O56" i="2" s="1"/>
  <c r="K42" i="11"/>
  <c r="Q56" i="2" s="1"/>
  <c r="H42" i="11"/>
  <c r="N56" i="2" s="1"/>
  <c r="O24" i="11"/>
  <c r="O56" i="11" s="1"/>
  <c r="G39" i="11"/>
  <c r="F39" i="11"/>
  <c r="I39" i="11"/>
  <c r="H39" i="11"/>
  <c r="E39" i="11"/>
  <c r="L39" i="11"/>
  <c r="B39" i="11"/>
  <c r="C39" i="11"/>
  <c r="K39" i="11"/>
  <c r="M39" i="11"/>
  <c r="J39" i="11"/>
  <c r="D39" i="11"/>
  <c r="B17" i="30"/>
  <c r="L33" i="30"/>
  <c r="L38" i="30"/>
  <c r="V16" i="42"/>
  <c r="L32" i="30"/>
  <c r="L34" i="30"/>
  <c r="L31" i="30"/>
  <c r="L35" i="30"/>
  <c r="L40" i="30"/>
  <c r="L41" i="30"/>
  <c r="P19" i="30"/>
  <c r="N16" i="42"/>
  <c r="E16" i="42"/>
  <c r="F16" i="42"/>
  <c r="E17" i="30" l="1"/>
  <c r="N41" i="30"/>
  <c r="S17" i="30"/>
  <c r="E16" i="30"/>
  <c r="N40" i="30"/>
  <c r="S16" i="30"/>
  <c r="W11" i="42"/>
  <c r="B15" i="30"/>
  <c r="W9" i="42"/>
  <c r="B13" i="30"/>
  <c r="W8" i="42"/>
  <c r="B12" i="30"/>
  <c r="C12" i="30" s="1"/>
  <c r="B11" i="30"/>
  <c r="C11" i="30" s="1"/>
  <c r="W7" i="42"/>
  <c r="E10" i="30"/>
  <c r="F10" i="30" s="1"/>
  <c r="N34" i="30"/>
  <c r="S10" i="30"/>
  <c r="W5" i="42"/>
  <c r="B9" i="30"/>
  <c r="E8" i="30"/>
  <c r="F8" i="30" s="1"/>
  <c r="N32" i="30"/>
  <c r="S8" i="30"/>
  <c r="E7" i="30"/>
  <c r="F7" i="30" s="1"/>
  <c r="N31" i="30"/>
  <c r="S7" i="30"/>
  <c r="W10" i="42"/>
  <c r="B14" i="30"/>
  <c r="C14" i="30" s="1"/>
  <c r="Q10" i="42"/>
  <c r="P10" i="42"/>
  <c r="S10" i="42"/>
  <c r="U10" i="42"/>
  <c r="T10" i="42"/>
  <c r="R10" i="42"/>
  <c r="O10" i="42"/>
  <c r="S11" i="42"/>
  <c r="R11" i="42"/>
  <c r="Q11" i="42"/>
  <c r="T11" i="42"/>
  <c r="P11" i="42"/>
  <c r="U11" i="42"/>
  <c r="O11" i="42"/>
  <c r="R13" i="42"/>
  <c r="Q13" i="42"/>
  <c r="O13" i="42"/>
  <c r="S13" i="42"/>
  <c r="P13" i="42"/>
  <c r="Q9" i="42"/>
  <c r="O9" i="42"/>
  <c r="S9" i="42"/>
  <c r="U9" i="42"/>
  <c r="T9" i="42"/>
  <c r="P9" i="42"/>
  <c r="R9" i="42"/>
  <c r="S8" i="42"/>
  <c r="Q8" i="42"/>
  <c r="U8" i="42"/>
  <c r="R8" i="42"/>
  <c r="P8" i="42"/>
  <c r="T8" i="42"/>
  <c r="O8" i="42"/>
  <c r="R7" i="42"/>
  <c r="T7" i="42"/>
  <c r="S7" i="42"/>
  <c r="P7" i="42"/>
  <c r="U7" i="42"/>
  <c r="O7" i="42"/>
  <c r="Q7" i="42"/>
  <c r="O5" i="42"/>
  <c r="R5" i="42"/>
  <c r="Q5" i="42"/>
  <c r="P5" i="42"/>
  <c r="S5" i="42"/>
  <c r="T2" i="42"/>
  <c r="S2" i="42"/>
  <c r="R2" i="42"/>
  <c r="Q2" i="42"/>
  <c r="P2" i="42"/>
  <c r="O2" i="42"/>
  <c r="U2" i="42"/>
  <c r="H56" i="2"/>
  <c r="N42" i="11"/>
  <c r="O57" i="11"/>
  <c r="H16" i="42"/>
  <c r="W16" i="42" l="1"/>
  <c r="O37" i="11" s="1"/>
  <c r="E15" i="30"/>
  <c r="N39" i="30"/>
  <c r="S15" i="30"/>
  <c r="E13" i="30"/>
  <c r="F13" i="30" s="1"/>
  <c r="N37" i="30"/>
  <c r="S13" i="30"/>
  <c r="S16" i="42"/>
  <c r="C27" i="30" s="1"/>
  <c r="E12" i="30"/>
  <c r="F12" i="30" s="1"/>
  <c r="N36" i="30"/>
  <c r="S12" i="30"/>
  <c r="E11" i="30"/>
  <c r="F11" i="30" s="1"/>
  <c r="N35" i="30"/>
  <c r="S11" i="30"/>
  <c r="E9" i="30"/>
  <c r="F9" i="30" s="1"/>
  <c r="N33" i="30"/>
  <c r="S9" i="30"/>
  <c r="N38" i="30"/>
  <c r="S14" i="30"/>
  <c r="B19" i="30"/>
  <c r="S19" i="30" s="1"/>
  <c r="R16" i="42"/>
  <c r="U16" i="42"/>
  <c r="T16" i="42"/>
  <c r="P16" i="42"/>
  <c r="D12" i="11" s="1"/>
  <c r="J26" i="2" s="1"/>
  <c r="Q16" i="42"/>
  <c r="O16" i="42"/>
  <c r="D11" i="11" s="1"/>
  <c r="J25" i="2" s="1"/>
  <c r="M45" i="30" l="1"/>
  <c r="H9" i="11" s="1"/>
  <c r="I20" i="11"/>
  <c r="O34" i="2" s="1"/>
  <c r="C20" i="11"/>
  <c r="I34" i="2" s="1"/>
  <c r="J20" i="11"/>
  <c r="P34" i="2" s="1"/>
  <c r="M20" i="11"/>
  <c r="S34" i="2" s="1"/>
  <c r="L20" i="11"/>
  <c r="R34" i="2" s="1"/>
  <c r="F20" i="11"/>
  <c r="L34" i="2" s="1"/>
  <c r="G20" i="11"/>
  <c r="M34" i="2" s="1"/>
  <c r="K20" i="11"/>
  <c r="Q34" i="2" s="1"/>
  <c r="B20" i="11"/>
  <c r="H34" i="2" s="1"/>
  <c r="H20" i="11"/>
  <c r="N34" i="2" s="1"/>
  <c r="E20" i="11"/>
  <c r="K34" i="2" s="1"/>
  <c r="D20" i="11"/>
  <c r="J34" i="2" s="1"/>
  <c r="E14" i="30"/>
  <c r="F14" i="30" s="1"/>
  <c r="C19" i="30"/>
  <c r="C22" i="30" s="1"/>
  <c r="B10" i="11"/>
  <c r="H24" i="2" s="1"/>
  <c r="L10" i="11"/>
  <c r="R24" i="2" s="1"/>
  <c r="C12" i="11"/>
  <c r="I26" i="2" s="1"/>
  <c r="T18" i="42"/>
  <c r="O36" i="11" s="1"/>
  <c r="J10" i="11"/>
  <c r="P24" i="2" s="1"/>
  <c r="F12" i="11"/>
  <c r="L26" i="2" s="1"/>
  <c r="M12" i="11"/>
  <c r="S26" i="2" s="1"/>
  <c r="H12" i="11"/>
  <c r="N26" i="2" s="1"/>
  <c r="I12" i="11"/>
  <c r="O26" i="2" s="1"/>
  <c r="E12" i="11"/>
  <c r="K26" i="2" s="1"/>
  <c r="G12" i="11"/>
  <c r="M26" i="2" s="1"/>
  <c r="L12" i="11"/>
  <c r="R26" i="2" s="1"/>
  <c r="F10" i="11"/>
  <c r="L24" i="2" s="1"/>
  <c r="I10" i="11"/>
  <c r="O24" i="2" s="1"/>
  <c r="C10" i="11"/>
  <c r="I24" i="2" s="1"/>
  <c r="E10" i="11"/>
  <c r="K24" i="2" s="1"/>
  <c r="D10" i="11"/>
  <c r="J24" i="2" s="1"/>
  <c r="M10" i="11"/>
  <c r="S24" i="2" s="1"/>
  <c r="B12" i="11"/>
  <c r="H26" i="2" s="1"/>
  <c r="H10" i="11"/>
  <c r="N24" i="2" s="1"/>
  <c r="J12" i="11"/>
  <c r="P26" i="2" s="1"/>
  <c r="K12" i="11"/>
  <c r="Q26" i="2" s="1"/>
  <c r="K10" i="11"/>
  <c r="Q24" i="2" s="1"/>
  <c r="G10" i="11"/>
  <c r="M24" i="2" s="1"/>
  <c r="C11" i="11"/>
  <c r="I25" i="2" s="1"/>
  <c r="G11" i="11"/>
  <c r="M25" i="2" s="1"/>
  <c r="F11" i="11"/>
  <c r="L25" i="2" s="1"/>
  <c r="M11" i="11"/>
  <c r="S25" i="2" s="1"/>
  <c r="H11" i="11"/>
  <c r="N25" i="2" s="1"/>
  <c r="J11" i="11"/>
  <c r="P25" i="2" s="1"/>
  <c r="L11" i="11"/>
  <c r="R25" i="2" s="1"/>
  <c r="B11" i="11"/>
  <c r="H25" i="2" s="1"/>
  <c r="K11" i="11"/>
  <c r="Q25" i="2" s="1"/>
  <c r="I11" i="11"/>
  <c r="O25" i="2" s="1"/>
  <c r="E11" i="11"/>
  <c r="K25" i="2" s="1"/>
  <c r="F3" i="4"/>
  <c r="F67" i="2"/>
  <c r="F59" i="2"/>
  <c r="F14" i="2"/>
  <c r="F7" i="2"/>
  <c r="E13" i="2"/>
  <c r="C13" i="2"/>
  <c r="D67" i="2"/>
  <c r="D59" i="2"/>
  <c r="D14" i="2"/>
  <c r="D7" i="2"/>
  <c r="M29" i="11"/>
  <c r="S43" i="2" s="1"/>
  <c r="L29" i="11"/>
  <c r="R43" i="2" s="1"/>
  <c r="K29" i="11"/>
  <c r="Q43" i="2" s="1"/>
  <c r="J29" i="11"/>
  <c r="P43" i="2" s="1"/>
  <c r="I29" i="11"/>
  <c r="O43" i="2" s="1"/>
  <c r="H29" i="11"/>
  <c r="N43" i="2" s="1"/>
  <c r="G29" i="11"/>
  <c r="M43" i="2" s="1"/>
  <c r="F29" i="11"/>
  <c r="L43" i="2" s="1"/>
  <c r="E29" i="11"/>
  <c r="K43" i="2" s="1"/>
  <c r="D29" i="11"/>
  <c r="J43" i="2" s="1"/>
  <c r="C29" i="11"/>
  <c r="I43" i="2" s="1"/>
  <c r="B29" i="11"/>
  <c r="H43" i="2" s="1"/>
  <c r="M27" i="11"/>
  <c r="S41" i="2" s="1"/>
  <c r="L27" i="11"/>
  <c r="R41" i="2" s="1"/>
  <c r="K27" i="11"/>
  <c r="Q41" i="2" s="1"/>
  <c r="J27" i="11"/>
  <c r="P41" i="2" s="1"/>
  <c r="I27" i="11"/>
  <c r="O41" i="2" s="1"/>
  <c r="H27" i="11"/>
  <c r="N41" i="2" s="1"/>
  <c r="G27" i="11"/>
  <c r="M41" i="2" s="1"/>
  <c r="F27" i="11"/>
  <c r="L41" i="2" s="1"/>
  <c r="E27" i="11"/>
  <c r="K41" i="2" s="1"/>
  <c r="D27" i="11"/>
  <c r="J41" i="2" s="1"/>
  <c r="C27" i="11"/>
  <c r="I41" i="2" s="1"/>
  <c r="B27" i="11"/>
  <c r="H41" i="2" s="1"/>
  <c r="M33" i="11"/>
  <c r="S47" i="2" s="1"/>
  <c r="L33" i="11"/>
  <c r="R47" i="2" s="1"/>
  <c r="K33" i="11"/>
  <c r="Q47" i="2" s="1"/>
  <c r="J33" i="11"/>
  <c r="P47" i="2" s="1"/>
  <c r="I33" i="11"/>
  <c r="O47" i="2" s="1"/>
  <c r="H33" i="11"/>
  <c r="N47" i="2" s="1"/>
  <c r="G33" i="11"/>
  <c r="M47" i="2" s="1"/>
  <c r="F33" i="11"/>
  <c r="L47" i="2" s="1"/>
  <c r="E33" i="11"/>
  <c r="K47" i="2" s="1"/>
  <c r="D33" i="11"/>
  <c r="J47" i="2" s="1"/>
  <c r="C33" i="11"/>
  <c r="I47" i="2" s="1"/>
  <c r="B33" i="11"/>
  <c r="H47" i="2" s="1"/>
  <c r="Q4" i="11" l="1"/>
  <c r="C23" i="39"/>
  <c r="J9" i="11"/>
  <c r="G9" i="11"/>
  <c r="D9" i="11"/>
  <c r="I9" i="11"/>
  <c r="E9" i="11"/>
  <c r="L9" i="11"/>
  <c r="C9" i="11"/>
  <c r="F9" i="11"/>
  <c r="M9" i="11"/>
  <c r="K9" i="11"/>
  <c r="B9" i="11"/>
  <c r="O22" i="42"/>
  <c r="D3" i="4"/>
  <c r="G55" i="2"/>
  <c r="G5" i="2"/>
  <c r="E35" i="2"/>
  <c r="D18" i="2"/>
  <c r="E46" i="2"/>
  <c r="G46" i="2"/>
  <c r="E52" i="2"/>
  <c r="G52" i="2"/>
  <c r="N29" i="11"/>
  <c r="E44" i="2"/>
  <c r="E45" i="2"/>
  <c r="E43" i="2"/>
  <c r="E27" i="2"/>
  <c r="E47" i="2"/>
  <c r="E42" i="2"/>
  <c r="E56" i="2"/>
  <c r="E66" i="2"/>
  <c r="G27" i="2"/>
  <c r="E65" i="2"/>
  <c r="G22" i="2"/>
  <c r="G48" i="2"/>
  <c r="E33" i="2"/>
  <c r="G35" i="2"/>
  <c r="E67" i="2"/>
  <c r="E31" i="2"/>
  <c r="E58" i="2"/>
  <c r="E30" i="2"/>
  <c r="E34" i="2"/>
  <c r="E59" i="2"/>
  <c r="E22" i="2"/>
  <c r="E32" i="2"/>
  <c r="E57" i="2"/>
  <c r="E64" i="2"/>
  <c r="G59" i="2"/>
  <c r="G47" i="2"/>
  <c r="G34" i="2"/>
  <c r="G64" i="2"/>
  <c r="G45" i="2"/>
  <c r="G33" i="2"/>
  <c r="G65" i="2"/>
  <c r="G58" i="2"/>
  <c r="G66" i="2"/>
  <c r="G57" i="2"/>
  <c r="G31" i="2"/>
  <c r="F18" i="2"/>
  <c r="G18" i="2" s="1"/>
  <c r="G56" i="2"/>
  <c r="G42" i="2"/>
  <c r="G30" i="2"/>
  <c r="G41" i="2"/>
  <c r="G29" i="2"/>
  <c r="G6" i="2"/>
  <c r="G54" i="2"/>
  <c r="G40" i="2"/>
  <c r="G28" i="2"/>
  <c r="G7" i="2"/>
  <c r="G53" i="2"/>
  <c r="G39" i="2"/>
  <c r="G26" i="2"/>
  <c r="G51" i="2"/>
  <c r="G38" i="2"/>
  <c r="G25" i="2"/>
  <c r="G14" i="2"/>
  <c r="G50" i="2"/>
  <c r="G37" i="2"/>
  <c r="G24" i="2"/>
  <c r="G49" i="2"/>
  <c r="G36" i="2"/>
  <c r="G23" i="2"/>
  <c r="G67" i="2"/>
  <c r="G44" i="2"/>
  <c r="G32" i="2"/>
  <c r="G43" i="2"/>
  <c r="E54" i="2"/>
  <c r="E51" i="2"/>
  <c r="E50" i="2"/>
  <c r="E37" i="2"/>
  <c r="E24" i="2"/>
  <c r="E29" i="2"/>
  <c r="E6" i="2"/>
  <c r="E53" i="2"/>
  <c r="E39" i="2"/>
  <c r="E26" i="2"/>
  <c r="E25" i="2"/>
  <c r="E14" i="2"/>
  <c r="E49" i="2"/>
  <c r="E36" i="2"/>
  <c r="E23" i="2"/>
  <c r="E55" i="2"/>
  <c r="E41" i="2"/>
  <c r="E5" i="2"/>
  <c r="E40" i="2"/>
  <c r="E28" i="2"/>
  <c r="E7" i="2"/>
  <c r="E38" i="2"/>
  <c r="E48" i="2"/>
  <c r="N27" i="11"/>
  <c r="N33" i="11"/>
  <c r="V34" i="11" l="1"/>
  <c r="E5" i="13"/>
  <c r="E21" i="13" s="1"/>
  <c r="V22" i="11"/>
  <c r="V21" i="11"/>
  <c r="V42" i="11"/>
  <c r="V41" i="11"/>
  <c r="V33" i="11"/>
  <c r="V4" i="11"/>
  <c r="V30" i="11"/>
  <c r="V44" i="11"/>
  <c r="V20" i="11"/>
  <c r="V43" i="11"/>
  <c r="V19" i="11"/>
  <c r="V18" i="11"/>
  <c r="V17" i="11"/>
  <c r="V9" i="11"/>
  <c r="V32" i="11"/>
  <c r="V31" i="11"/>
  <c r="D5" i="17"/>
  <c r="E5" i="17" s="1"/>
  <c r="V35" i="11"/>
  <c r="V10" i="11"/>
  <c r="V29" i="11"/>
  <c r="P4" i="11"/>
  <c r="V28" i="11"/>
  <c r="V13" i="11"/>
  <c r="V39" i="11"/>
  <c r="V36" i="11"/>
  <c r="V25" i="11"/>
  <c r="V27" i="11"/>
  <c r="V24" i="11"/>
  <c r="V12" i="11"/>
  <c r="V26" i="11"/>
  <c r="V23" i="11"/>
  <c r="V11" i="11"/>
  <c r="V15" i="11"/>
  <c r="V14" i="11"/>
  <c r="V40" i="11"/>
  <c r="V16" i="11"/>
  <c r="V37" i="11"/>
  <c r="V8" i="11"/>
  <c r="V38" i="11"/>
  <c r="F61" i="2"/>
  <c r="D61" i="2"/>
  <c r="F69" i="2" l="1"/>
  <c r="G61" i="2"/>
  <c r="D69" i="2"/>
  <c r="E61" i="2"/>
  <c r="T41" i="2"/>
  <c r="T43" i="2" l="1"/>
  <c r="G69" i="2"/>
  <c r="F71" i="2"/>
  <c r="G71" i="2" s="1"/>
  <c r="D71" i="2"/>
  <c r="E69" i="2"/>
  <c r="M19" i="11"/>
  <c r="S33" i="2" s="1"/>
  <c r="L19" i="11"/>
  <c r="R33" i="2" s="1"/>
  <c r="K19" i="11"/>
  <c r="Q33" i="2" s="1"/>
  <c r="J19" i="11"/>
  <c r="P33" i="2" s="1"/>
  <c r="I19" i="11"/>
  <c r="O33" i="2" s="1"/>
  <c r="H19" i="11"/>
  <c r="N33" i="2" s="1"/>
  <c r="G19" i="11"/>
  <c r="M33" i="2" s="1"/>
  <c r="F19" i="11"/>
  <c r="L33" i="2" s="1"/>
  <c r="E19" i="11"/>
  <c r="K33" i="2" s="1"/>
  <c r="D19" i="11"/>
  <c r="J33" i="2" s="1"/>
  <c r="C19" i="11"/>
  <c r="I33" i="2" s="1"/>
  <c r="B19" i="11"/>
  <c r="H33" i="2" s="1"/>
  <c r="M28" i="11"/>
  <c r="S42" i="2" s="1"/>
  <c r="L28" i="11"/>
  <c r="R42" i="2" s="1"/>
  <c r="K28" i="11"/>
  <c r="Q42" i="2" s="1"/>
  <c r="J28" i="11"/>
  <c r="P42" i="2" s="1"/>
  <c r="I28" i="11"/>
  <c r="O42" i="2" s="1"/>
  <c r="H28" i="11"/>
  <c r="N42" i="2" s="1"/>
  <c r="G28" i="11"/>
  <c r="M42" i="2" s="1"/>
  <c r="F28" i="11"/>
  <c r="L42" i="2" s="1"/>
  <c r="E28" i="11"/>
  <c r="K42" i="2" s="1"/>
  <c r="D28" i="11"/>
  <c r="J42" i="2" s="1"/>
  <c r="C28" i="11"/>
  <c r="I42" i="2" s="1"/>
  <c r="B28" i="11"/>
  <c r="H42" i="2" s="1"/>
  <c r="M16" i="11"/>
  <c r="S30" i="2" s="1"/>
  <c r="L16" i="11"/>
  <c r="R30" i="2" s="1"/>
  <c r="K16" i="11"/>
  <c r="Q30" i="2" s="1"/>
  <c r="J16" i="11"/>
  <c r="P30" i="2" s="1"/>
  <c r="I16" i="11"/>
  <c r="O30" i="2" s="1"/>
  <c r="H16" i="11"/>
  <c r="N30" i="2" s="1"/>
  <c r="G16" i="11"/>
  <c r="M30" i="2" s="1"/>
  <c r="F16" i="11"/>
  <c r="L30" i="2" s="1"/>
  <c r="E16" i="11"/>
  <c r="K30" i="2" s="1"/>
  <c r="D16" i="11"/>
  <c r="J30" i="2" s="1"/>
  <c r="C16" i="11"/>
  <c r="I30" i="2" s="1"/>
  <c r="B16" i="11"/>
  <c r="H30" i="2" s="1"/>
  <c r="O44" i="11"/>
  <c r="M44" i="11" s="1"/>
  <c r="S58" i="2" s="1"/>
  <c r="C24" i="11"/>
  <c r="I38" i="2" s="1"/>
  <c r="D24" i="11"/>
  <c r="J38" i="2" s="1"/>
  <c r="E24" i="11"/>
  <c r="K38" i="2" s="1"/>
  <c r="F24" i="11"/>
  <c r="L38" i="2" s="1"/>
  <c r="G24" i="11"/>
  <c r="M38" i="2" s="1"/>
  <c r="H24" i="11"/>
  <c r="N38" i="2" s="1"/>
  <c r="I24" i="11"/>
  <c r="O38" i="2" s="1"/>
  <c r="J24" i="11"/>
  <c r="P38" i="2" s="1"/>
  <c r="K24" i="11"/>
  <c r="Q38" i="2" s="1"/>
  <c r="L24" i="11"/>
  <c r="R38" i="2" s="1"/>
  <c r="M24" i="11"/>
  <c r="S38" i="2" s="1"/>
  <c r="C23" i="11"/>
  <c r="I37" i="2" s="1"/>
  <c r="D23" i="11"/>
  <c r="J37" i="2" s="1"/>
  <c r="E23" i="11"/>
  <c r="K37" i="2" s="1"/>
  <c r="F23" i="11"/>
  <c r="L37" i="2" s="1"/>
  <c r="G23" i="11"/>
  <c r="M37" i="2" s="1"/>
  <c r="H23" i="11"/>
  <c r="N37" i="2" s="1"/>
  <c r="I23" i="11"/>
  <c r="O37" i="2" s="1"/>
  <c r="J23" i="11"/>
  <c r="P37" i="2" s="1"/>
  <c r="K23" i="11"/>
  <c r="Q37" i="2" s="1"/>
  <c r="L23" i="11"/>
  <c r="R37" i="2" s="1"/>
  <c r="M23" i="11"/>
  <c r="S37" i="2" s="1"/>
  <c r="B23" i="11"/>
  <c r="H37" i="2" s="1"/>
  <c r="B24" i="11"/>
  <c r="H38" i="2" s="1"/>
  <c r="M37" i="11"/>
  <c r="S51" i="2" s="1"/>
  <c r="L37" i="11"/>
  <c r="R51" i="2" s="1"/>
  <c r="K37" i="11"/>
  <c r="Q51" i="2" s="1"/>
  <c r="J37" i="11"/>
  <c r="P51" i="2" s="1"/>
  <c r="I37" i="11"/>
  <c r="O51" i="2" s="1"/>
  <c r="H37" i="11"/>
  <c r="N51" i="2" s="1"/>
  <c r="G37" i="11"/>
  <c r="M51" i="2" s="1"/>
  <c r="F37" i="11"/>
  <c r="L51" i="2" s="1"/>
  <c r="E37" i="11"/>
  <c r="K51" i="2" s="1"/>
  <c r="D37" i="11"/>
  <c r="J51" i="2" s="1"/>
  <c r="C37" i="11"/>
  <c r="I51" i="2" s="1"/>
  <c r="B37" i="11"/>
  <c r="H51" i="2" s="1"/>
  <c r="S54" i="2"/>
  <c r="R54" i="2"/>
  <c r="Q54" i="2"/>
  <c r="P54" i="2"/>
  <c r="O54" i="2"/>
  <c r="N54" i="2"/>
  <c r="M54" i="2"/>
  <c r="L54" i="2"/>
  <c r="K54" i="2"/>
  <c r="J54" i="2"/>
  <c r="I54" i="2"/>
  <c r="H54" i="2"/>
  <c r="H36" i="2"/>
  <c r="I36" i="2"/>
  <c r="J36" i="2"/>
  <c r="K36" i="2"/>
  <c r="L36" i="2"/>
  <c r="M36" i="2"/>
  <c r="N36" i="2"/>
  <c r="O36" i="2"/>
  <c r="P36" i="2"/>
  <c r="Q36" i="2"/>
  <c r="R36" i="2"/>
  <c r="S36" i="2"/>
  <c r="H44" i="2"/>
  <c r="I44" i="2"/>
  <c r="J44" i="2"/>
  <c r="K44" i="2"/>
  <c r="L44" i="2"/>
  <c r="M44" i="2"/>
  <c r="N44" i="2"/>
  <c r="O44" i="2"/>
  <c r="P44" i="2"/>
  <c r="Q44" i="2"/>
  <c r="R44" i="2"/>
  <c r="S44" i="2"/>
  <c r="H45" i="2"/>
  <c r="I45" i="2"/>
  <c r="J45" i="2"/>
  <c r="K45" i="2"/>
  <c r="L45" i="2"/>
  <c r="M45" i="2"/>
  <c r="N45" i="2"/>
  <c r="O45" i="2"/>
  <c r="P45" i="2"/>
  <c r="Q45" i="2"/>
  <c r="R45" i="2"/>
  <c r="S45" i="2"/>
  <c r="H53" i="2"/>
  <c r="I53" i="2"/>
  <c r="J53" i="2"/>
  <c r="K53" i="2"/>
  <c r="L53" i="2"/>
  <c r="M53" i="2"/>
  <c r="N53" i="2"/>
  <c r="O53" i="2"/>
  <c r="P53" i="2"/>
  <c r="Q53" i="2"/>
  <c r="R53" i="2"/>
  <c r="S53" i="2"/>
  <c r="I35" i="2"/>
  <c r="J35" i="2"/>
  <c r="K35" i="2"/>
  <c r="L35" i="2"/>
  <c r="M35" i="2"/>
  <c r="N35" i="2"/>
  <c r="O35" i="2"/>
  <c r="P35" i="2"/>
  <c r="Q35" i="2"/>
  <c r="R35" i="2"/>
  <c r="S35" i="2"/>
  <c r="H35" i="2"/>
  <c r="S28" i="2"/>
  <c r="R28" i="2"/>
  <c r="Q28" i="2"/>
  <c r="P28" i="2"/>
  <c r="O28" i="2"/>
  <c r="N28" i="2"/>
  <c r="M28" i="2"/>
  <c r="L28" i="2"/>
  <c r="K28" i="2"/>
  <c r="J28" i="2"/>
  <c r="I28" i="2"/>
  <c r="H28" i="2"/>
  <c r="S6" i="30"/>
  <c r="T3" i="11"/>
  <c r="Y3" i="11" s="1"/>
  <c r="T32" i="2" l="1"/>
  <c r="T55" i="2"/>
  <c r="T45" i="2"/>
  <c r="T44" i="2"/>
  <c r="T36" i="2"/>
  <c r="T28" i="2"/>
  <c r="T35" i="2"/>
  <c r="T56" i="2"/>
  <c r="T53" i="2"/>
  <c r="T47" i="2"/>
  <c r="T30" i="2"/>
  <c r="T54" i="2"/>
  <c r="T42" i="2"/>
  <c r="T38" i="2"/>
  <c r="T37" i="2"/>
  <c r="T33" i="2"/>
  <c r="T31" i="2"/>
  <c r="T29" i="2"/>
  <c r="T26" i="2"/>
  <c r="N39" i="11"/>
  <c r="F73" i="2"/>
  <c r="D73" i="2"/>
  <c r="E71" i="2"/>
  <c r="F44" i="11"/>
  <c r="L58" i="2" s="1"/>
  <c r="G44" i="11"/>
  <c r="M58" i="2" s="1"/>
  <c r="I44" i="11"/>
  <c r="O58" i="2" s="1"/>
  <c r="N40" i="11"/>
  <c r="N28" i="11"/>
  <c r="N16" i="11"/>
  <c r="H44" i="11"/>
  <c r="N58" i="2" s="1"/>
  <c r="B44" i="11"/>
  <c r="H58" i="2" s="1"/>
  <c r="J44" i="11"/>
  <c r="P58" i="2" s="1"/>
  <c r="C44" i="11"/>
  <c r="I58" i="2" s="1"/>
  <c r="K44" i="11"/>
  <c r="Q58" i="2" s="1"/>
  <c r="D44" i="11"/>
  <c r="J58" i="2" s="1"/>
  <c r="L44" i="11"/>
  <c r="R58" i="2" s="1"/>
  <c r="E44" i="11"/>
  <c r="K58" i="2" s="1"/>
  <c r="N18" i="11"/>
  <c r="N19" i="11"/>
  <c r="E73" i="2" l="1"/>
  <c r="D49" i="39"/>
  <c r="D52" i="39" s="1"/>
  <c r="G73" i="2"/>
  <c r="C49" i="39"/>
  <c r="C52" i="39" s="1"/>
  <c r="T58" i="2"/>
  <c r="C45" i="30" l="1"/>
  <c r="O22" i="30" l="1"/>
  <c r="B45" i="30"/>
  <c r="E20" i="30" l="1"/>
  <c r="P26" i="30" s="1"/>
  <c r="E45" i="30"/>
  <c r="B21" i="30"/>
  <c r="D45" i="30"/>
  <c r="H18" i="42" l="1"/>
  <c r="D19" i="30"/>
  <c r="C25" i="30" s="1"/>
  <c r="E36" i="11"/>
  <c r="K50" i="2" s="1"/>
  <c r="D36" i="11"/>
  <c r="J50" i="2" s="1"/>
  <c r="G36" i="11"/>
  <c r="M50" i="2" s="1"/>
  <c r="C36" i="11"/>
  <c r="I50" i="2" s="1"/>
  <c r="B36" i="11"/>
  <c r="H50" i="2" s="1"/>
  <c r="F36" i="11"/>
  <c r="L50" i="2" s="1"/>
  <c r="H36" i="11"/>
  <c r="N50" i="2" s="1"/>
  <c r="M36" i="11"/>
  <c r="S50" i="2" s="1"/>
  <c r="L36" i="11"/>
  <c r="R50" i="2" s="1"/>
  <c r="K36" i="11"/>
  <c r="Q50" i="2" s="1"/>
  <c r="J36" i="11"/>
  <c r="P50" i="2" s="1"/>
  <c r="I36" i="11"/>
  <c r="O50" i="2" s="1"/>
  <c r="B35" i="39" l="1"/>
  <c r="B39" i="39"/>
  <c r="F46" i="30"/>
  <c r="H17" i="42"/>
  <c r="H19" i="42" s="1"/>
  <c r="H20" i="42" s="1"/>
  <c r="T51" i="2"/>
  <c r="N36" i="11"/>
  <c r="C23" i="30"/>
  <c r="E27" i="30" s="1"/>
  <c r="O61" i="30" l="1"/>
  <c r="O60" i="30"/>
  <c r="O59" i="30"/>
  <c r="O51" i="30"/>
  <c r="O58" i="30"/>
  <c r="O57" i="30"/>
  <c r="O53" i="30"/>
  <c r="O56" i="30"/>
  <c r="O55" i="30"/>
  <c r="O52" i="30"/>
  <c r="O62" i="30"/>
  <c r="O54" i="30"/>
  <c r="F10" i="34"/>
  <c r="G10" i="34"/>
  <c r="H10" i="34"/>
  <c r="I10" i="34"/>
  <c r="M10" i="34"/>
  <c r="C10" i="34"/>
  <c r="C62" i="34" s="1"/>
  <c r="D10" i="34"/>
  <c r="J10" i="34"/>
  <c r="K10" i="34"/>
  <c r="L10" i="34"/>
  <c r="E10" i="34"/>
  <c r="N10" i="34"/>
  <c r="P46" i="30"/>
  <c r="C9" i="34"/>
  <c r="P44" i="30"/>
  <c r="O64" i="30" l="1"/>
  <c r="P53" i="30" s="1"/>
  <c r="I9" i="34"/>
  <c r="K9" i="34"/>
  <c r="H9" i="34"/>
  <c r="D9" i="34"/>
  <c r="N9" i="34"/>
  <c r="J9" i="34"/>
  <c r="G9" i="34"/>
  <c r="L9" i="34"/>
  <c r="F9" i="34"/>
  <c r="E9" i="34"/>
  <c r="M9" i="34"/>
  <c r="P61" i="30" l="1"/>
  <c r="T61" i="30" s="1"/>
  <c r="M64" i="34" s="1"/>
  <c r="P57" i="30"/>
  <c r="Q57" i="30" s="1"/>
  <c r="I8" i="34" s="1"/>
  <c r="I11" i="34" s="1"/>
  <c r="T53" i="30"/>
  <c r="E64" i="34" s="1"/>
  <c r="Q53" i="30"/>
  <c r="E8" i="34" s="1"/>
  <c r="E11" i="34" s="1"/>
  <c r="P59" i="30"/>
  <c r="Q61" i="30"/>
  <c r="M8" i="34" s="1"/>
  <c r="M11" i="34" s="1"/>
  <c r="P54" i="30"/>
  <c r="P51" i="30"/>
  <c r="Q51" i="30" s="1"/>
  <c r="P62" i="30"/>
  <c r="P52" i="30"/>
  <c r="P56" i="30"/>
  <c r="P55" i="30"/>
  <c r="P60" i="30"/>
  <c r="P58" i="30"/>
  <c r="Y4" i="11"/>
  <c r="X4" i="11"/>
  <c r="W4" i="11"/>
  <c r="T57" i="30" l="1"/>
  <c r="I64" i="34" s="1"/>
  <c r="Q59" i="30"/>
  <c r="K8" i="34" s="1"/>
  <c r="K11" i="34" s="1"/>
  <c r="T59" i="30"/>
  <c r="K64" i="34" s="1"/>
  <c r="T56" i="30"/>
  <c r="H64" i="34" s="1"/>
  <c r="Q56" i="30"/>
  <c r="H8" i="34" s="1"/>
  <c r="H11" i="34" s="1"/>
  <c r="T52" i="30"/>
  <c r="D64" i="34" s="1"/>
  <c r="Q52" i="30"/>
  <c r="D8" i="34" s="1"/>
  <c r="D11" i="34" s="1"/>
  <c r="T62" i="30"/>
  <c r="N64" i="34" s="1"/>
  <c r="Q62" i="30"/>
  <c r="N8" i="34" s="1"/>
  <c r="N11" i="34" s="1"/>
  <c r="P64" i="30"/>
  <c r="T51" i="30"/>
  <c r="T54" i="30"/>
  <c r="F64" i="34" s="1"/>
  <c r="Q54" i="30"/>
  <c r="F8" i="34" s="1"/>
  <c r="F11" i="34" s="1"/>
  <c r="T58" i="30"/>
  <c r="J64" i="34" s="1"/>
  <c r="Q58" i="30"/>
  <c r="J8" i="34" s="1"/>
  <c r="J11" i="34" s="1"/>
  <c r="T60" i="30"/>
  <c r="L64" i="34" s="1"/>
  <c r="Q60" i="30"/>
  <c r="L8" i="34" s="1"/>
  <c r="L11" i="34" s="1"/>
  <c r="T55" i="30"/>
  <c r="G64" i="34" s="1"/>
  <c r="Q55" i="30"/>
  <c r="G8" i="34" s="1"/>
  <c r="G11" i="34" s="1"/>
  <c r="U4" i="11"/>
  <c r="C64" i="34" l="1"/>
  <c r="O64" i="34" s="1"/>
  <c r="T64" i="30"/>
  <c r="C8" i="34"/>
  <c r="Q64" i="30"/>
  <c r="L67" i="34"/>
  <c r="Q13" i="2" s="1"/>
  <c r="K67" i="34"/>
  <c r="P13" i="2" s="1"/>
  <c r="I67" i="34"/>
  <c r="N13" i="2" s="1"/>
  <c r="H67" i="34"/>
  <c r="M13" i="2" s="1"/>
  <c r="G67" i="34"/>
  <c r="L13" i="2" s="1"/>
  <c r="F67" i="34"/>
  <c r="K13" i="2" s="1"/>
  <c r="D67" i="34"/>
  <c r="I13" i="2" s="1"/>
  <c r="B58" i="39"/>
  <c r="B54" i="39"/>
  <c r="B48" i="39"/>
  <c r="B42" i="39"/>
  <c r="B38" i="39"/>
  <c r="B34" i="39"/>
  <c r="C11" i="34" l="1"/>
  <c r="O8" i="34"/>
  <c r="C67" i="34"/>
  <c r="J65" i="34"/>
  <c r="J68" i="34" s="1"/>
  <c r="J67" i="34"/>
  <c r="O13" i="2" s="1"/>
  <c r="M65" i="34"/>
  <c r="M68" i="34" s="1"/>
  <c r="M67" i="34"/>
  <c r="R13" i="2" s="1"/>
  <c r="N65" i="34"/>
  <c r="N68" i="34" s="1"/>
  <c r="N67" i="34"/>
  <c r="S13" i="2" s="1"/>
  <c r="F65" i="34"/>
  <c r="F68" i="34" s="1"/>
  <c r="G65" i="34"/>
  <c r="G68" i="34" s="1"/>
  <c r="H65" i="34"/>
  <c r="H68" i="34" s="1"/>
  <c r="L65" i="34"/>
  <c r="L68" i="34" s="1"/>
  <c r="D65" i="34"/>
  <c r="D68" i="34" s="1"/>
  <c r="E67" i="34"/>
  <c r="J13" i="2" s="1"/>
  <c r="K12" i="34"/>
  <c r="K65" i="34"/>
  <c r="K68" i="34" s="1"/>
  <c r="I12" i="34"/>
  <c r="I65" i="34"/>
  <c r="I68" i="34" s="1"/>
  <c r="D8" i="1" l="1"/>
  <c r="H13" i="2"/>
  <c r="T13" i="2" s="1"/>
  <c r="U13" i="2" s="1"/>
  <c r="E65" i="34"/>
  <c r="E68" i="34" s="1"/>
  <c r="D30" i="4"/>
  <c r="T64" i="2" l="1"/>
  <c r="C28" i="1"/>
  <c r="D28" i="1" s="1"/>
  <c r="C65" i="34" l="1"/>
  <c r="C68" i="34" s="1"/>
  <c r="T25" i="2" l="1"/>
  <c r="N11" i="11"/>
  <c r="N20" i="11"/>
  <c r="T34" i="2"/>
  <c r="T24" i="2"/>
  <c r="N10" i="11"/>
  <c r="AU28" i="1"/>
  <c r="O20" i="11" l="1"/>
  <c r="O11" i="11"/>
  <c r="O10" i="11"/>
  <c r="B67" i="2" l="1"/>
  <c r="B14" i="2"/>
  <c r="B7" i="2"/>
  <c r="C52" i="2" s="1"/>
  <c r="C27" i="2" l="1"/>
  <c r="C46" i="2"/>
  <c r="C67" i="2"/>
  <c r="C66" i="2"/>
  <c r="C32" i="2"/>
  <c r="C44" i="2"/>
  <c r="C33" i="2"/>
  <c r="C45" i="2"/>
  <c r="C38" i="2"/>
  <c r="C26" i="2"/>
  <c r="C6" i="2"/>
  <c r="C56" i="2"/>
  <c r="C31" i="2"/>
  <c r="C34" i="2"/>
  <c r="C47" i="2"/>
  <c r="C22" i="2"/>
  <c r="C36" i="2"/>
  <c r="C49" i="2"/>
  <c r="C37" i="2"/>
  <c r="C28" i="2"/>
  <c r="C40" i="2"/>
  <c r="C54" i="2"/>
  <c r="C5" i="2"/>
  <c r="C55" i="2"/>
  <c r="C43" i="2"/>
  <c r="C57" i="2"/>
  <c r="C35" i="2"/>
  <c r="C48" i="2"/>
  <c r="C23" i="2"/>
  <c r="C14" i="2"/>
  <c r="C24" i="2"/>
  <c r="C50" i="2"/>
  <c r="C25" i="2"/>
  <c r="C51" i="2"/>
  <c r="C7" i="2"/>
  <c r="C39" i="2"/>
  <c r="C53" i="2"/>
  <c r="C29" i="2"/>
  <c r="C41" i="2"/>
  <c r="C65" i="2"/>
  <c r="C30" i="2"/>
  <c r="C42" i="2"/>
  <c r="C64" i="2"/>
  <c r="C58" i="2"/>
  <c r="B18" i="2"/>
  <c r="C18" i="2" s="1"/>
  <c r="C43" i="39" l="1"/>
  <c r="C27" i="39" l="1"/>
  <c r="C28" i="39"/>
  <c r="C32" i="39" l="1"/>
  <c r="H65" i="2" l="1"/>
  <c r="AZ24" i="1" l="1"/>
  <c r="C40" i="39" l="1"/>
  <c r="F38" i="1" l="1"/>
  <c r="C5" i="4" l="1"/>
  <c r="AX32" i="1" l="1"/>
  <c r="AU30" i="1"/>
  <c r="AV30" i="1" s="1"/>
  <c r="AQ30" i="1"/>
  <c r="AR30" i="1" s="1"/>
  <c r="AI30" i="1"/>
  <c r="AJ30" i="1" s="1"/>
  <c r="AE30" i="1"/>
  <c r="AF30" i="1" s="1"/>
  <c r="AA30" i="1"/>
  <c r="AB30" i="1" s="1"/>
  <c r="S30" i="1"/>
  <c r="T30" i="1" s="1"/>
  <c r="K30" i="1"/>
  <c r="L30" i="1" s="1"/>
  <c r="C30" i="1"/>
  <c r="D30" i="1" s="1"/>
  <c r="AU29" i="1"/>
  <c r="AV29" i="1" s="1"/>
  <c r="AM29" i="1"/>
  <c r="AN29" i="1" s="1"/>
  <c r="AI29" i="1"/>
  <c r="AJ29" i="1" s="1"/>
  <c r="AE29" i="1"/>
  <c r="AF29" i="1" s="1"/>
  <c r="AA29" i="1"/>
  <c r="AB29" i="1" s="1"/>
  <c r="W29" i="1"/>
  <c r="X29" i="1" s="1"/>
  <c r="S29" i="1"/>
  <c r="T29" i="1" s="1"/>
  <c r="O29" i="1"/>
  <c r="G29" i="1"/>
  <c r="H29" i="1" s="1"/>
  <c r="C29" i="1"/>
  <c r="D29" i="1" s="1"/>
  <c r="AQ28" i="1"/>
  <c r="AM28" i="1"/>
  <c r="AI28" i="1"/>
  <c r="AE28" i="1"/>
  <c r="AA28" i="1"/>
  <c r="W28" i="1"/>
  <c r="S28" i="1"/>
  <c r="O28" i="1"/>
  <c r="K28" i="1"/>
  <c r="G28" i="1"/>
  <c r="G31" i="1"/>
  <c r="AZ28" i="1" l="1"/>
  <c r="AX29" i="1"/>
  <c r="AX28" i="1"/>
  <c r="P29" i="1"/>
  <c r="AM30" i="1"/>
  <c r="AN30" i="1" s="1"/>
  <c r="W30" i="1"/>
  <c r="X30" i="1" s="1"/>
  <c r="O30" i="1"/>
  <c r="P30" i="1" s="1"/>
  <c r="AX30" i="1"/>
  <c r="G30" i="1"/>
  <c r="AQ29" i="1"/>
  <c r="AR29" i="1" s="1"/>
  <c r="K29" i="1"/>
  <c r="AZ30" i="1" l="1"/>
  <c r="H30" i="1"/>
  <c r="AZ29" i="1"/>
  <c r="L29" i="1"/>
  <c r="C12" i="34" l="1"/>
  <c r="E12" i="34"/>
  <c r="D12" i="34"/>
  <c r="E62" i="34"/>
  <c r="M12" i="34"/>
  <c r="M62" i="34"/>
  <c r="F12" i="34"/>
  <c r="F62" i="34"/>
  <c r="N12" i="34"/>
  <c r="N62" i="34"/>
  <c r="G12" i="34"/>
  <c r="G62" i="34"/>
  <c r="I62" i="34"/>
  <c r="K62" i="34"/>
  <c r="H12" i="34"/>
  <c r="H62" i="34"/>
  <c r="J12" i="34"/>
  <c r="J62" i="34"/>
  <c r="D62" i="34"/>
  <c r="L12" i="34"/>
  <c r="L62" i="34"/>
  <c r="O62" i="34" l="1"/>
  <c r="O11" i="34"/>
  <c r="O12" i="34"/>
  <c r="AD8" i="1"/>
  <c r="Z8" i="1"/>
  <c r="N8" i="1"/>
  <c r="AT8" i="1"/>
  <c r="AH8" i="1"/>
  <c r="V8" i="1"/>
  <c r="AP8" i="1"/>
  <c r="AL8" i="1"/>
  <c r="F8" i="1"/>
  <c r="B8" i="1"/>
  <c r="C8" i="1" s="1"/>
  <c r="R8" i="1"/>
  <c r="J8" i="1"/>
  <c r="AQ8" i="1" l="1"/>
  <c r="AR8" i="1" s="1"/>
  <c r="W8" i="1"/>
  <c r="X8" i="1" s="1"/>
  <c r="AE8" i="1"/>
  <c r="AF8" i="1" s="1"/>
  <c r="S8" i="1"/>
  <c r="T8" i="1" s="1"/>
  <c r="AU8" i="1"/>
  <c r="AV8" i="1" s="1"/>
  <c r="K8" i="1"/>
  <c r="L8" i="1" s="1"/>
  <c r="AM8" i="1"/>
  <c r="AN8" i="1" s="1"/>
  <c r="AI8" i="1"/>
  <c r="AJ8" i="1" s="1"/>
  <c r="O8" i="1"/>
  <c r="P8" i="1" s="1"/>
  <c r="G8" i="1"/>
  <c r="H8" i="1" s="1"/>
  <c r="AA8" i="1"/>
  <c r="AB8" i="1" s="1"/>
  <c r="AX8" i="1"/>
  <c r="O67" i="34"/>
  <c r="O68" i="34" l="1"/>
  <c r="O69" i="34" s="1"/>
  <c r="C9" i="13" l="1"/>
  <c r="F18" i="3" l="1"/>
  <c r="C36" i="39" l="1"/>
  <c r="C24" i="39" l="1"/>
  <c r="C21" i="13" l="1"/>
  <c r="C44" i="39" l="1"/>
  <c r="F23" i="4" l="1"/>
  <c r="T66" i="2" l="1"/>
  <c r="C49" i="3" l="1"/>
  <c r="AX3" i="1" l="1"/>
  <c r="AZ3" i="1" s="1"/>
  <c r="AX24" i="1"/>
  <c r="B25" i="1"/>
  <c r="AT25" i="1" s="1"/>
  <c r="R25" i="1" l="1"/>
  <c r="V25" i="1"/>
  <c r="AH25" i="1"/>
  <c r="Z25" i="1"/>
  <c r="AL25" i="1"/>
  <c r="AD25" i="1"/>
  <c r="F25" i="1"/>
  <c r="H24" i="1" s="1"/>
  <c r="J25" i="1"/>
  <c r="K24" i="1" s="1"/>
  <c r="AP25" i="1"/>
  <c r="N25" i="1"/>
  <c r="O24" i="1" s="1"/>
  <c r="P24" i="1" l="1"/>
  <c r="L24" i="1"/>
  <c r="G24" i="1"/>
  <c r="AT3" i="1" l="1"/>
  <c r="AP3" i="1"/>
  <c r="AL3" i="1"/>
  <c r="AH3" i="1"/>
  <c r="AD3" i="1"/>
  <c r="Z3" i="1"/>
  <c r="V3" i="1"/>
  <c r="R3" i="1"/>
  <c r="N3" i="1"/>
  <c r="J3" i="1"/>
  <c r="F3" i="1"/>
  <c r="D14" i="4" l="1"/>
  <c r="F11" i="3"/>
  <c r="F12" i="4" l="1"/>
  <c r="D12" i="4"/>
  <c r="F9" i="3" l="1"/>
  <c r="D18" i="4" l="1"/>
  <c r="I65" i="2" l="1"/>
  <c r="J65" i="2"/>
  <c r="K65" i="2"/>
  <c r="L65" i="2"/>
  <c r="M65" i="2"/>
  <c r="N65" i="2"/>
  <c r="O65" i="2"/>
  <c r="P65" i="2"/>
  <c r="Q65" i="2"/>
  <c r="R65" i="2"/>
  <c r="S65" i="2"/>
  <c r="T65" i="2" l="1"/>
  <c r="AX31" i="1" l="1"/>
  <c r="AX33" i="1" s="1"/>
  <c r="F9" i="4" l="1"/>
  <c r="T67" i="2"/>
  <c r="T6" i="2"/>
  <c r="AY3" i="1" l="1"/>
  <c r="AU31" i="1"/>
  <c r="AQ31" i="1"/>
  <c r="AM31" i="1"/>
  <c r="AI31" i="1"/>
  <c r="AE31" i="1"/>
  <c r="AA31" i="1"/>
  <c r="W31" i="1"/>
  <c r="S31" i="1"/>
  <c r="O31" i="1"/>
  <c r="K31" i="1"/>
  <c r="C31" i="1"/>
  <c r="AZ31" i="1" l="1"/>
  <c r="S67" i="2"/>
  <c r="R67" i="2"/>
  <c r="Q67" i="2"/>
  <c r="P67" i="2"/>
  <c r="O67" i="2"/>
  <c r="N67" i="2"/>
  <c r="M67" i="2"/>
  <c r="L67" i="2"/>
  <c r="K67" i="2"/>
  <c r="J67" i="2"/>
  <c r="I67" i="2"/>
  <c r="H67" i="2"/>
  <c r="AU11" i="1" l="1"/>
  <c r="AU10" i="1"/>
  <c r="AU9" i="1"/>
  <c r="AQ11" i="1"/>
  <c r="AQ10" i="1"/>
  <c r="AQ9" i="1"/>
  <c r="AM11" i="1"/>
  <c r="AM10" i="1"/>
  <c r="AM9" i="1"/>
  <c r="AI11" i="1"/>
  <c r="AI10" i="1"/>
  <c r="AI9" i="1"/>
  <c r="AE11" i="1"/>
  <c r="AE10" i="1"/>
  <c r="AE9" i="1"/>
  <c r="AA11" i="1"/>
  <c r="AA10" i="1"/>
  <c r="AA9" i="1"/>
  <c r="AF31" i="1"/>
  <c r="AF28" i="1"/>
  <c r="W11" i="1"/>
  <c r="W10" i="1"/>
  <c r="W9" i="1"/>
  <c r="S11" i="1"/>
  <c r="S10" i="1"/>
  <c r="S9" i="1"/>
  <c r="O11" i="1"/>
  <c r="O10" i="1"/>
  <c r="O9" i="1"/>
  <c r="K11" i="1"/>
  <c r="K10" i="1"/>
  <c r="K9" i="1"/>
  <c r="G11" i="1"/>
  <c r="G10" i="1"/>
  <c r="G9" i="1"/>
  <c r="C11" i="1"/>
  <c r="C10" i="1"/>
  <c r="C9" i="1"/>
  <c r="A11" i="1"/>
  <c r="A10" i="1"/>
  <c r="A9" i="1"/>
  <c r="A8" i="1"/>
  <c r="A7" i="1"/>
  <c r="AT33" i="1"/>
  <c r="AV28" i="1"/>
  <c r="AV24" i="1"/>
  <c r="AU24" i="1"/>
  <c r="AV3" i="1"/>
  <c r="AU3" i="1"/>
  <c r="AP33" i="1"/>
  <c r="AR28" i="1"/>
  <c r="AR24" i="1"/>
  <c r="AQ24" i="1"/>
  <c r="AR3" i="1"/>
  <c r="AQ3" i="1"/>
  <c r="AL33" i="1"/>
  <c r="AN28" i="1"/>
  <c r="AN24" i="1"/>
  <c r="AM24" i="1"/>
  <c r="AN3" i="1"/>
  <c r="AM3" i="1"/>
  <c r="AH33" i="1"/>
  <c r="AJ28" i="1"/>
  <c r="AJ24" i="1"/>
  <c r="AI24" i="1"/>
  <c r="AJ3" i="1"/>
  <c r="AI3" i="1"/>
  <c r="AD33" i="1"/>
  <c r="AF24" i="1"/>
  <c r="AE24" i="1"/>
  <c r="AF3" i="1"/>
  <c r="AE3" i="1"/>
  <c r="Z33" i="1"/>
  <c r="AB28" i="1"/>
  <c r="AB24" i="1"/>
  <c r="AA24" i="1"/>
  <c r="AB3" i="1"/>
  <c r="AA3" i="1"/>
  <c r="V33" i="1"/>
  <c r="X28" i="1"/>
  <c r="X24" i="1"/>
  <c r="W24" i="1"/>
  <c r="X3" i="1"/>
  <c r="W3" i="1"/>
  <c r="R33" i="1"/>
  <c r="T28" i="1"/>
  <c r="T24" i="1"/>
  <c r="S24" i="1"/>
  <c r="T3" i="1"/>
  <c r="S3" i="1"/>
  <c r="N33" i="1"/>
  <c r="P28" i="1"/>
  <c r="P3" i="1"/>
  <c r="O3" i="1"/>
  <c r="J33" i="1"/>
  <c r="L28" i="1"/>
  <c r="L3" i="1"/>
  <c r="K3" i="1"/>
  <c r="F33" i="1"/>
  <c r="H28" i="1"/>
  <c r="H3" i="1"/>
  <c r="G3" i="1"/>
  <c r="AV31" i="1" l="1"/>
  <c r="AR31" i="1" l="1"/>
  <c r="AN31" i="1" l="1"/>
  <c r="AJ31" i="1" l="1"/>
  <c r="AB31" i="1" l="1"/>
  <c r="X31" i="1" l="1"/>
  <c r="T31" i="1" l="1"/>
  <c r="P31" i="1" l="1"/>
  <c r="D22" i="4"/>
  <c r="L31" i="1" l="1"/>
  <c r="H31" i="1" l="1"/>
  <c r="B21" i="13" l="1"/>
  <c r="P45" i="11" l="1"/>
  <c r="B33" i="4" l="1"/>
  <c r="B26" i="4"/>
  <c r="B19" i="4"/>
  <c r="B56" i="3"/>
  <c r="B49" i="3"/>
  <c r="B30" i="3"/>
  <c r="B22" i="3"/>
  <c r="B25" i="3" s="1"/>
  <c r="B14" i="3"/>
  <c r="B58" i="3" l="1"/>
  <c r="B35" i="4"/>
  <c r="B39" i="4" s="1"/>
  <c r="B32" i="3"/>
  <c r="B71" i="3"/>
  <c r="AH11" i="1" l="1"/>
  <c r="AJ11" i="1" s="1"/>
  <c r="R11" i="1"/>
  <c r="T11" i="1" s="1"/>
  <c r="F11" i="1"/>
  <c r="H11" i="1" s="1"/>
  <c r="B11" i="1"/>
  <c r="AD11" i="1"/>
  <c r="AF11" i="1" s="1"/>
  <c r="N11" i="1"/>
  <c r="P11" i="1" s="1"/>
  <c r="V11" i="1"/>
  <c r="X11" i="1" s="1"/>
  <c r="AT11" i="1"/>
  <c r="AV11" i="1" s="1"/>
  <c r="Z11" i="1"/>
  <c r="AB11" i="1" s="1"/>
  <c r="J11" i="1"/>
  <c r="L11" i="1" s="1"/>
  <c r="AL11" i="1"/>
  <c r="AN11" i="1" s="1"/>
  <c r="AP11" i="1"/>
  <c r="AR11" i="1" s="1"/>
  <c r="D11" i="1" l="1"/>
  <c r="AZ11" i="1" s="1"/>
  <c r="AX11" i="1"/>
  <c r="AY11" i="1" s="1"/>
  <c r="B29" i="39" l="1"/>
  <c r="AH10" i="1"/>
  <c r="AJ10" i="1" s="1"/>
  <c r="AP10" i="1"/>
  <c r="AR10" i="1" s="1"/>
  <c r="AD10" i="1"/>
  <c r="AF10" i="1" s="1"/>
  <c r="E26" i="34"/>
  <c r="J10" i="1"/>
  <c r="L10" i="1" s="1"/>
  <c r="H26" i="34"/>
  <c r="G26" i="34"/>
  <c r="I26" i="34"/>
  <c r="F10" i="1"/>
  <c r="H10" i="1" s="1"/>
  <c r="N26" i="34"/>
  <c r="J26" i="34"/>
  <c r="F26" i="34"/>
  <c r="D26" i="34"/>
  <c r="N10" i="1"/>
  <c r="P10" i="1" s="1"/>
  <c r="R10" i="1"/>
  <c r="T10" i="1" s="1"/>
  <c r="C26" i="34"/>
  <c r="C59" i="34" s="1"/>
  <c r="H5" i="2" s="1"/>
  <c r="M26" i="34"/>
  <c r="V10" i="1"/>
  <c r="X10" i="1" s="1"/>
  <c r="AT10" i="1"/>
  <c r="AV10" i="1" s="1"/>
  <c r="Z10" i="1"/>
  <c r="AB10" i="1" s="1"/>
  <c r="L26" i="34"/>
  <c r="K26" i="34"/>
  <c r="AL10" i="1"/>
  <c r="AN10" i="1" s="1"/>
  <c r="B10" i="1"/>
  <c r="I27" i="34" l="1"/>
  <c r="I60" i="34" s="1"/>
  <c r="I59" i="34"/>
  <c r="N5" i="2" s="1"/>
  <c r="G27" i="34"/>
  <c r="G60" i="34" s="1"/>
  <c r="G59" i="34"/>
  <c r="L5" i="2" s="1"/>
  <c r="M27" i="34"/>
  <c r="M60" i="34" s="1"/>
  <c r="M59" i="34"/>
  <c r="R5" i="2" s="1"/>
  <c r="F27" i="34"/>
  <c r="F60" i="34" s="1"/>
  <c r="F59" i="34"/>
  <c r="K5" i="2" s="1"/>
  <c r="H27" i="34"/>
  <c r="H60" i="34" s="1"/>
  <c r="H59" i="34"/>
  <c r="M5" i="2" s="1"/>
  <c r="E27" i="34"/>
  <c r="E60" i="34" s="1"/>
  <c r="E59" i="34"/>
  <c r="J5" i="2" s="1"/>
  <c r="K27" i="34"/>
  <c r="K60" i="34" s="1"/>
  <c r="K59" i="34"/>
  <c r="P5" i="2" s="1"/>
  <c r="J27" i="34"/>
  <c r="J60" i="34" s="1"/>
  <c r="J59" i="34"/>
  <c r="O5" i="2" s="1"/>
  <c r="D27" i="34"/>
  <c r="D60" i="34" s="1"/>
  <c r="D59" i="34"/>
  <c r="I5" i="2" s="1"/>
  <c r="L27" i="34"/>
  <c r="L60" i="34" s="1"/>
  <c r="L59" i="34"/>
  <c r="Q5" i="2" s="1"/>
  <c r="C27" i="34"/>
  <c r="C60" i="34" s="1"/>
  <c r="N27" i="34"/>
  <c r="N60" i="34" s="1"/>
  <c r="N59" i="34"/>
  <c r="S5" i="2" s="1"/>
  <c r="D10" i="1"/>
  <c r="AZ10" i="1" s="1"/>
  <c r="AX10" i="1"/>
  <c r="AY10" i="1" s="1"/>
  <c r="Z9" i="1"/>
  <c r="F9" i="1" l="1"/>
  <c r="F12" i="1" s="1"/>
  <c r="F14" i="1" s="1"/>
  <c r="R9" i="1"/>
  <c r="AL9" i="1"/>
  <c r="J9" i="1"/>
  <c r="J12" i="1" s="1"/>
  <c r="J14" i="1" s="1"/>
  <c r="V9" i="1"/>
  <c r="AP9" i="1"/>
  <c r="AR9" i="1" s="1"/>
  <c r="AR12" i="1" s="1"/>
  <c r="AR14" i="1" s="1"/>
  <c r="AH9" i="1"/>
  <c r="AH12" i="1" s="1"/>
  <c r="AH14" i="1" s="1"/>
  <c r="AD9" i="1"/>
  <c r="AD12" i="1" s="1"/>
  <c r="AD14" i="1" s="1"/>
  <c r="AT9" i="1"/>
  <c r="AV9" i="1" s="1"/>
  <c r="AV12" i="1" s="1"/>
  <c r="AV14" i="1" s="1"/>
  <c r="B9" i="1"/>
  <c r="B12" i="1" s="1"/>
  <c r="B14" i="1" s="1"/>
  <c r="N9" i="1"/>
  <c r="P9" i="1" s="1"/>
  <c r="P12" i="1" s="1"/>
  <c r="P14" i="1" s="1"/>
  <c r="O59" i="34"/>
  <c r="O60" i="34"/>
  <c r="AB9" i="1"/>
  <c r="AB12" i="1" s="1"/>
  <c r="AB14" i="1" s="1"/>
  <c r="Z12" i="1"/>
  <c r="Z14" i="1" s="1"/>
  <c r="AN9" i="1"/>
  <c r="AN12" i="1" s="1"/>
  <c r="AN14" i="1" s="1"/>
  <c r="AL12" i="1"/>
  <c r="AL14" i="1" s="1"/>
  <c r="T9" i="1"/>
  <c r="T12" i="1" s="1"/>
  <c r="T14" i="1" s="1"/>
  <c r="R12" i="1"/>
  <c r="R14" i="1" s="1"/>
  <c r="X9" i="1"/>
  <c r="X12" i="1" s="1"/>
  <c r="X14" i="1" s="1"/>
  <c r="V12" i="1"/>
  <c r="V14" i="1" s="1"/>
  <c r="L9" i="1"/>
  <c r="L12" i="1" s="1"/>
  <c r="L14" i="1" s="1"/>
  <c r="H9" i="1" l="1"/>
  <c r="H12" i="1" s="1"/>
  <c r="H14" i="1" s="1"/>
  <c r="G14" i="1" s="1"/>
  <c r="AP12" i="1"/>
  <c r="AP14" i="1" s="1"/>
  <c r="AQ14" i="1" s="1"/>
  <c r="AM14" i="1"/>
  <c r="S14" i="1"/>
  <c r="AJ9" i="1"/>
  <c r="AJ12" i="1" s="1"/>
  <c r="AJ14" i="1" s="1"/>
  <c r="AI14" i="1" s="1"/>
  <c r="W14" i="1"/>
  <c r="AA14" i="1"/>
  <c r="K14" i="1"/>
  <c r="N12" i="1"/>
  <c r="N14" i="1" s="1"/>
  <c r="O14" i="1" s="1"/>
  <c r="AX9" i="1"/>
  <c r="AY9" i="1" s="1"/>
  <c r="AF9" i="1"/>
  <c r="AF12" i="1" s="1"/>
  <c r="AF14" i="1" s="1"/>
  <c r="AE14" i="1" s="1"/>
  <c r="D9" i="1"/>
  <c r="AT12" i="1"/>
  <c r="S12" i="1"/>
  <c r="AM12" i="1"/>
  <c r="AA12" i="1"/>
  <c r="K12" i="1"/>
  <c r="W12" i="1"/>
  <c r="AI12" i="1" l="1"/>
  <c r="AQ12" i="1"/>
  <c r="G12" i="1"/>
  <c r="AZ9" i="1"/>
  <c r="AX12" i="1"/>
  <c r="AX14" i="1" s="1"/>
  <c r="O12" i="1"/>
  <c r="AU12" i="1"/>
  <c r="AT14" i="1"/>
  <c r="AU14" i="1" s="1"/>
  <c r="AE12" i="1"/>
  <c r="B27" i="39"/>
  <c r="B28" i="39"/>
  <c r="B30" i="39"/>
  <c r="T5" i="2"/>
  <c r="R7" i="2" l="1"/>
  <c r="S7" i="2"/>
  <c r="K7" i="2"/>
  <c r="N7" i="2"/>
  <c r="O7" i="2"/>
  <c r="L7" i="2"/>
  <c r="P7" i="2"/>
  <c r="I7" i="2"/>
  <c r="J7" i="2"/>
  <c r="Q7" i="2"/>
  <c r="O14" i="2"/>
  <c r="J14" i="2"/>
  <c r="L14" i="2"/>
  <c r="I14" i="2"/>
  <c r="P14" i="2"/>
  <c r="K14" i="2"/>
  <c r="N14" i="2"/>
  <c r="M7" i="2"/>
  <c r="S14" i="2"/>
  <c r="R14" i="2"/>
  <c r="I4" i="11" l="1"/>
  <c r="O18" i="2"/>
  <c r="H4" i="11"/>
  <c r="N18" i="2"/>
  <c r="K18" i="2"/>
  <c r="E4" i="11"/>
  <c r="M4" i="11"/>
  <c r="S18" i="2"/>
  <c r="F4" i="11"/>
  <c r="L18" i="2"/>
  <c r="K4" i="11"/>
  <c r="J18" i="2"/>
  <c r="D4" i="11"/>
  <c r="J4" i="11"/>
  <c r="P18" i="2"/>
  <c r="G4" i="11"/>
  <c r="I18" i="2"/>
  <c r="C4" i="11"/>
  <c r="R18" i="2"/>
  <c r="L4" i="11"/>
  <c r="O8" i="2"/>
  <c r="S8" i="2"/>
  <c r="I8" i="2"/>
  <c r="R8" i="2"/>
  <c r="K8" i="2"/>
  <c r="L8" i="2"/>
  <c r="P8" i="2"/>
  <c r="N8" i="2"/>
  <c r="J8" i="2"/>
  <c r="I15" i="2"/>
  <c r="J15" i="2"/>
  <c r="O15" i="2"/>
  <c r="R15" i="2"/>
  <c r="M8" i="2"/>
  <c r="N15" i="2"/>
  <c r="M14" i="2"/>
  <c r="M18" i="2" s="1"/>
  <c r="P15" i="2"/>
  <c r="L15" i="2"/>
  <c r="Q8" i="2"/>
  <c r="S15" i="2"/>
  <c r="K15" i="2"/>
  <c r="Q14" i="2"/>
  <c r="Q18" i="2" s="1"/>
  <c r="Q15" i="2" l="1"/>
  <c r="M15" i="2"/>
  <c r="D9" i="17" l="1"/>
  <c r="E9" i="17" s="1"/>
  <c r="F12" i="3"/>
  <c r="F13" i="3"/>
  <c r="F17" i="3"/>
  <c r="F20" i="3"/>
  <c r="F21" i="3"/>
  <c r="C22" i="3"/>
  <c r="C25" i="3" s="1"/>
  <c r="F29" i="3"/>
  <c r="C30" i="3"/>
  <c r="F39" i="3"/>
  <c r="F40" i="3"/>
  <c r="F41" i="3"/>
  <c r="F42" i="3"/>
  <c r="F43" i="3"/>
  <c r="F44" i="3"/>
  <c r="F46" i="3"/>
  <c r="F48" i="3"/>
  <c r="F47" i="3"/>
  <c r="D51" i="3"/>
  <c r="C56" i="3"/>
  <c r="F61" i="3"/>
  <c r="F62" i="3"/>
  <c r="C66" i="3"/>
  <c r="C58" i="3" l="1"/>
  <c r="C68" i="3" s="1"/>
  <c r="F10" i="3"/>
  <c r="D56" i="3"/>
  <c r="D30" i="3"/>
  <c r="F28" i="3"/>
  <c r="D22" i="3"/>
  <c r="D13" i="17" l="1"/>
  <c r="E13" i="17" s="1"/>
  <c r="D23" i="3"/>
  <c r="C11" i="13" l="1"/>
  <c r="C13" i="13" s="1"/>
  <c r="C15" i="13" s="1"/>
  <c r="C17" i="13" s="1"/>
  <c r="E10" i="13"/>
  <c r="F8" i="3"/>
  <c r="F10" i="13" s="1"/>
  <c r="B11" i="13"/>
  <c r="B13" i="13" s="1"/>
  <c r="B15" i="13" s="1"/>
  <c r="B17" i="13" s="1"/>
  <c r="D49" i="3"/>
  <c r="D58" i="3" s="1"/>
  <c r="F37" i="3"/>
  <c r="D25" i="3"/>
  <c r="F9" i="13" l="1"/>
  <c r="E11" i="13"/>
  <c r="E13" i="13" s="1"/>
  <c r="E15" i="13" s="1"/>
  <c r="E17" i="13" s="1"/>
  <c r="B33" i="1" l="1"/>
  <c r="AZ8" i="1" l="1"/>
  <c r="D12" i="1" l="1"/>
  <c r="D14" i="1" s="1"/>
  <c r="C14" i="1" s="1"/>
  <c r="C12" i="1" l="1"/>
  <c r="AZ12" i="1"/>
  <c r="AZ14" i="1" s="1"/>
  <c r="AY8" i="1"/>
  <c r="AY12" i="1" l="1"/>
  <c r="B8" i="27" l="1"/>
  <c r="B19" i="27"/>
  <c r="C22" i="27" s="1"/>
  <c r="B30" i="27"/>
  <c r="C33" i="27" s="1"/>
  <c r="B41" i="27"/>
  <c r="C44" i="27" s="1"/>
  <c r="B52" i="27"/>
  <c r="C55" i="27" s="1"/>
  <c r="B63" i="27"/>
  <c r="C66" i="27" s="1"/>
  <c r="B74" i="27"/>
  <c r="C77" i="27" s="1"/>
  <c r="C81" i="27"/>
  <c r="C11" i="27" l="1"/>
  <c r="C80" i="27"/>
  <c r="C79" i="27" l="1"/>
  <c r="I28" i="1" l="1"/>
  <c r="F11" i="13" l="1"/>
  <c r="F13" i="13" s="1"/>
  <c r="C32" i="1"/>
  <c r="D32" i="1" s="1"/>
  <c r="F11" i="4"/>
  <c r="F13" i="4"/>
  <c r="F16" i="4"/>
  <c r="F18" i="4"/>
  <c r="E30" i="3"/>
  <c r="C8" i="4"/>
  <c r="C19" i="4" s="1"/>
  <c r="F51" i="3"/>
  <c r="F55" i="3"/>
  <c r="D9" i="4"/>
  <c r="D11" i="4"/>
  <c r="D13" i="4"/>
  <c r="D15" i="4"/>
  <c r="D16" i="4"/>
  <c r="D17" i="4"/>
  <c r="D24" i="4"/>
  <c r="D23" i="4"/>
  <c r="D25" i="4"/>
  <c r="D29" i="4"/>
  <c r="D31" i="4"/>
  <c r="C59" i="39" s="1"/>
  <c r="D32" i="4"/>
  <c r="C26" i="4"/>
  <c r="C33" i="4"/>
  <c r="D37" i="4"/>
  <c r="D24" i="1"/>
  <c r="C24" i="1"/>
  <c r="D3" i="1"/>
  <c r="C3" i="1"/>
  <c r="D31" i="1" l="1"/>
  <c r="D8" i="4"/>
  <c r="F19" i="3"/>
  <c r="D5" i="4"/>
  <c r="C35" i="4"/>
  <c r="C39" i="4" s="1"/>
  <c r="F30" i="3"/>
  <c r="D26" i="4"/>
  <c r="U8" i="11"/>
  <c r="D33" i="4"/>
  <c r="I34" i="11" l="1"/>
  <c r="O48" i="2" s="1"/>
  <c r="H34" i="11"/>
  <c r="N48" i="2" s="1"/>
  <c r="G34" i="11"/>
  <c r="M48" i="2" s="1"/>
  <c r="F34" i="11"/>
  <c r="L48" i="2" s="1"/>
  <c r="M34" i="11"/>
  <c r="S48" i="2" s="1"/>
  <c r="E34" i="11"/>
  <c r="K48" i="2" s="1"/>
  <c r="B34" i="11"/>
  <c r="H48" i="2" s="1"/>
  <c r="L34" i="11"/>
  <c r="R48" i="2" s="1"/>
  <c r="D34" i="11"/>
  <c r="J48" i="2" s="1"/>
  <c r="K34" i="11"/>
  <c r="Q48" i="2" s="1"/>
  <c r="C34" i="11"/>
  <c r="I48" i="2" s="1"/>
  <c r="J34" i="11"/>
  <c r="P48" i="2" s="1"/>
  <c r="D19" i="4"/>
  <c r="D35" i="4" s="1"/>
  <c r="D39" i="4" s="1"/>
  <c r="F37" i="4" s="1"/>
  <c r="E22" i="3"/>
  <c r="F22" i="3"/>
  <c r="T48" i="2" l="1"/>
  <c r="N34" i="11"/>
  <c r="T7" i="2"/>
  <c r="B23" i="39" s="1"/>
  <c r="H7" i="2"/>
  <c r="F26" i="4"/>
  <c r="U57" i="2" l="1"/>
  <c r="U27" i="2"/>
  <c r="U41" i="2"/>
  <c r="U43" i="2"/>
  <c r="U47" i="2"/>
  <c r="U45" i="2"/>
  <c r="U33" i="2"/>
  <c r="U38" i="2"/>
  <c r="U56" i="2"/>
  <c r="U55" i="2"/>
  <c r="U37" i="2"/>
  <c r="U42" i="2"/>
  <c r="U30" i="2"/>
  <c r="U32" i="2"/>
  <c r="U53" i="2"/>
  <c r="U54" i="2"/>
  <c r="U35" i="2"/>
  <c r="U29" i="2"/>
  <c r="U28" i="2"/>
  <c r="U31" i="2"/>
  <c r="U36" i="2"/>
  <c r="U44" i="2"/>
  <c r="U58" i="2"/>
  <c r="U51" i="2"/>
  <c r="U34" i="2"/>
  <c r="U48" i="2"/>
  <c r="F5" i="17"/>
  <c r="F5" i="13"/>
  <c r="B4" i="11"/>
  <c r="U66" i="2"/>
  <c r="U24" i="2"/>
  <c r="U7" i="2"/>
  <c r="U25" i="2"/>
  <c r="U6" i="2"/>
  <c r="O4" i="11"/>
  <c r="U64" i="2"/>
  <c r="U65" i="2"/>
  <c r="U67" i="2"/>
  <c r="U5" i="2"/>
  <c r="H8" i="2"/>
  <c r="B31" i="39"/>
  <c r="B32" i="39" s="1"/>
  <c r="B24" i="39" l="1"/>
  <c r="N4" i="11"/>
  <c r="F23" i="3" l="1"/>
  <c r="E25" i="3"/>
  <c r="F25" i="3" l="1"/>
  <c r="F8" i="4"/>
  <c r="G10" i="13"/>
  <c r="F21" i="13"/>
  <c r="F15" i="13"/>
  <c r="F17" i="13" s="1"/>
  <c r="N21" i="11" l="1"/>
  <c r="C33" i="1" l="1"/>
  <c r="D33" i="1" l="1"/>
  <c r="I33" i="1" s="1"/>
  <c r="H14" i="2" l="1"/>
  <c r="H18" i="2" s="1"/>
  <c r="T14" i="2" l="1"/>
  <c r="H15" i="2"/>
  <c r="T15" i="2" l="1"/>
  <c r="T18" i="2"/>
  <c r="U18" i="2" s="1"/>
  <c r="B36" i="39"/>
  <c r="U14" i="2"/>
  <c r="F45" i="3" l="1"/>
  <c r="F49" i="3" s="1"/>
  <c r="E49" i="3"/>
  <c r="J35" i="11" l="1"/>
  <c r="P49" i="2" s="1"/>
  <c r="B35" i="11"/>
  <c r="H49" i="2" s="1"/>
  <c r="I35" i="11"/>
  <c r="O49" i="2" s="1"/>
  <c r="H35" i="11"/>
  <c r="N49" i="2" s="1"/>
  <c r="G35" i="11"/>
  <c r="M49" i="2" s="1"/>
  <c r="F35" i="11"/>
  <c r="L49" i="2" s="1"/>
  <c r="K35" i="11"/>
  <c r="Q49" i="2" s="1"/>
  <c r="M35" i="11"/>
  <c r="S49" i="2" s="1"/>
  <c r="E35" i="11"/>
  <c r="K49" i="2" s="1"/>
  <c r="C35" i="11"/>
  <c r="I49" i="2" s="1"/>
  <c r="L35" i="11"/>
  <c r="R49" i="2" s="1"/>
  <c r="D35" i="11"/>
  <c r="J49" i="2" s="1"/>
  <c r="B59" i="2"/>
  <c r="T49" i="2" l="1"/>
  <c r="U49" i="2" s="1"/>
  <c r="B61" i="2"/>
  <c r="C59" i="2"/>
  <c r="T50" i="2"/>
  <c r="U50" i="2" s="1"/>
  <c r="B40" i="39"/>
  <c r="B69" i="2" l="1"/>
  <c r="C61" i="2"/>
  <c r="B73" i="3"/>
  <c r="C69" i="2" l="1"/>
  <c r="B71" i="2"/>
  <c r="B66" i="3"/>
  <c r="B73" i="2" l="1"/>
  <c r="C71" i="2"/>
  <c r="D73" i="3"/>
  <c r="F63" i="3"/>
  <c r="D66" i="3"/>
  <c r="B72" i="3"/>
  <c r="B68" i="3"/>
  <c r="C73" i="2" l="1"/>
  <c r="B74" i="3"/>
  <c r="C50" i="39"/>
  <c r="D72" i="3"/>
  <c r="D68" i="3"/>
  <c r="AZ33" i="1" l="1"/>
  <c r="AU32" i="1"/>
  <c r="AU33" i="1" s="1"/>
  <c r="AV32" i="1" l="1"/>
  <c r="AV33" i="1" s="1"/>
  <c r="AQ32" i="1" l="1"/>
  <c r="AQ33" i="1"/>
  <c r="AR32" i="1"/>
  <c r="AR33" i="1" l="1"/>
  <c r="AM32" i="1"/>
  <c r="AN32" i="1" l="1"/>
  <c r="AM33" i="1"/>
  <c r="AI32" i="1" l="1"/>
  <c r="AN33" i="1"/>
  <c r="AI33" i="1" l="1"/>
  <c r="AJ32" i="1"/>
  <c r="AJ33" i="1" l="1"/>
  <c r="AE32" i="1"/>
  <c r="AF32" i="1" l="1"/>
  <c r="AE33" i="1"/>
  <c r="AF33" i="1" l="1"/>
  <c r="AA32" i="1"/>
  <c r="AA33" i="1" l="1"/>
  <c r="AB32" i="1"/>
  <c r="AB33" i="1" l="1"/>
  <c r="W32" i="1"/>
  <c r="X32" i="1" l="1"/>
  <c r="W33" i="1"/>
  <c r="S32" i="1" l="1"/>
  <c r="X33" i="1"/>
  <c r="S33" i="1" l="1"/>
  <c r="T32" i="1"/>
  <c r="T33" i="1" l="1"/>
  <c r="O32" i="1"/>
  <c r="K32" i="1" l="1"/>
  <c r="P32" i="1"/>
  <c r="P33" i="1" s="1"/>
  <c r="O33" i="1"/>
  <c r="K33" i="1" l="1"/>
  <c r="L32" i="1"/>
  <c r="L33" i="1" l="1"/>
  <c r="G32" i="1"/>
  <c r="H32" i="1" l="1"/>
  <c r="H33" i="1" s="1"/>
  <c r="G33" i="1"/>
  <c r="B43" i="39" l="1"/>
  <c r="B46" i="39" l="1"/>
  <c r="B44" i="39"/>
  <c r="E14" i="3" l="1"/>
  <c r="E32" i="3" s="1"/>
  <c r="N14" i="11" l="1"/>
  <c r="N24" i="11" l="1"/>
  <c r="N37" i="11"/>
  <c r="N31" i="11"/>
  <c r="N44" i="11"/>
  <c r="N30" i="11"/>
  <c r="N23" i="11"/>
  <c r="N22" i="11"/>
  <c r="N35" i="11"/>
  <c r="N12" i="11" l="1"/>
  <c r="F26" i="11"/>
  <c r="E26" i="11"/>
  <c r="K40" i="2" s="1"/>
  <c r="B26" i="11"/>
  <c r="H40" i="2" l="1"/>
  <c r="L40" i="2"/>
  <c r="O12" i="11"/>
  <c r="O53" i="11" s="1"/>
  <c r="O54" i="11" s="1"/>
  <c r="H26" i="11"/>
  <c r="N40" i="2" s="1"/>
  <c r="C26" i="11"/>
  <c r="I40" i="2" s="1"/>
  <c r="L26" i="11"/>
  <c r="R40" i="2" s="1"/>
  <c r="I26" i="11"/>
  <c r="O40" i="2" s="1"/>
  <c r="M26" i="11"/>
  <c r="S40" i="2" s="1"/>
  <c r="K26" i="11"/>
  <c r="Q40" i="2" s="1"/>
  <c r="G26" i="11"/>
  <c r="M40" i="2" s="1"/>
  <c r="D26" i="11"/>
  <c r="J40" i="2" s="1"/>
  <c r="J26" i="11"/>
  <c r="P40" i="2" s="1"/>
  <c r="U26" i="2" l="1"/>
  <c r="N26" i="11"/>
  <c r="T40" i="2" l="1"/>
  <c r="U40" i="2" s="1"/>
  <c r="M8" i="11"/>
  <c r="S22" i="2" s="1"/>
  <c r="D8" i="11"/>
  <c r="H23" i="2"/>
  <c r="M23" i="2"/>
  <c r="I8" i="11"/>
  <c r="O23" i="2"/>
  <c r="G8" i="11"/>
  <c r="M22" i="2" s="1"/>
  <c r="I23" i="2"/>
  <c r="L8" i="11"/>
  <c r="S23" i="2"/>
  <c r="H8" i="11"/>
  <c r="N23" i="2"/>
  <c r="E8" i="11"/>
  <c r="K23" i="2"/>
  <c r="P23" i="2"/>
  <c r="F8" i="11"/>
  <c r="J23" i="2"/>
  <c r="B8" i="11"/>
  <c r="K8" i="11"/>
  <c r="Q23" i="2"/>
  <c r="J22" i="2" l="1"/>
  <c r="O22" i="2"/>
  <c r="L22" i="2"/>
  <c r="K22" i="2"/>
  <c r="N22" i="2"/>
  <c r="Q22" i="2"/>
  <c r="R22" i="2"/>
  <c r="H22" i="2"/>
  <c r="C8" i="11"/>
  <c r="N9" i="11"/>
  <c r="O9" i="11" s="1"/>
  <c r="J8" i="11"/>
  <c r="L23" i="2"/>
  <c r="R23" i="2"/>
  <c r="T23" i="2" l="1"/>
  <c r="U23" i="2" s="1"/>
  <c r="I22" i="2"/>
  <c r="N8" i="11"/>
  <c r="P22" i="2"/>
  <c r="O8" i="11" l="1"/>
  <c r="T22" i="2"/>
  <c r="U22" i="2" l="1"/>
  <c r="P39" i="2"/>
  <c r="K39" i="2"/>
  <c r="I39" i="2"/>
  <c r="R39" i="2"/>
  <c r="L39" i="2"/>
  <c r="O39" i="2"/>
  <c r="M39" i="2"/>
  <c r="Q39" i="2"/>
  <c r="S39" i="2"/>
  <c r="J39" i="2"/>
  <c r="H39" i="2"/>
  <c r="N25" i="11"/>
  <c r="N39" i="2" l="1"/>
  <c r="T39" i="2" l="1"/>
  <c r="U39" i="2" s="1"/>
  <c r="M46" i="2"/>
  <c r="K32" i="11"/>
  <c r="Q46" i="2" s="1"/>
  <c r="J46" i="2"/>
  <c r="P46" i="2"/>
  <c r="C32" i="11"/>
  <c r="I46" i="2"/>
  <c r="I32" i="11"/>
  <c r="O46" i="2" s="1"/>
  <c r="E32" i="11"/>
  <c r="K46" i="2" s="1"/>
  <c r="F32" i="11"/>
  <c r="L46" i="2" s="1"/>
  <c r="H32" i="11"/>
  <c r="N46" i="2" s="1"/>
  <c r="G32" i="11"/>
  <c r="D32" i="11"/>
  <c r="J32" i="11"/>
  <c r="M32" i="11"/>
  <c r="S46" i="2" s="1"/>
  <c r="L32" i="11"/>
  <c r="R46" i="2" s="1"/>
  <c r="H46" i="2"/>
  <c r="B32" i="11"/>
  <c r="T46" i="2" l="1"/>
  <c r="N32" i="11"/>
  <c r="U46" i="2" l="1"/>
  <c r="I52" i="2"/>
  <c r="I59" i="2" s="1"/>
  <c r="I61" i="2" s="1"/>
  <c r="I69" i="2" s="1"/>
  <c r="M52" i="2"/>
  <c r="M59" i="2" s="1"/>
  <c r="M61" i="2" s="1"/>
  <c r="M69" i="2" s="1"/>
  <c r="Q52" i="2"/>
  <c r="Q59" i="2" s="1"/>
  <c r="Q61" i="2" s="1"/>
  <c r="Q69" i="2" s="1"/>
  <c r="H38" i="11"/>
  <c r="N52" i="2" s="1"/>
  <c r="N59" i="2" s="1"/>
  <c r="N61" i="2" s="1"/>
  <c r="N69" i="2" s="1"/>
  <c r="H45" i="11"/>
  <c r="G38" i="11"/>
  <c r="G45" i="11" s="1"/>
  <c r="K38" i="11"/>
  <c r="K45" i="11" s="1"/>
  <c r="I38" i="11"/>
  <c r="O52" i="2" s="1"/>
  <c r="O59" i="2" s="1"/>
  <c r="O61" i="2" s="1"/>
  <c r="O69" i="2" s="1"/>
  <c r="I45" i="11"/>
  <c r="F38" i="11"/>
  <c r="L52" i="2" s="1"/>
  <c r="L59" i="2" s="1"/>
  <c r="L61" i="2" s="1"/>
  <c r="L69" i="2" s="1"/>
  <c r="F45" i="11"/>
  <c r="M38" i="11"/>
  <c r="S52" i="2" s="1"/>
  <c r="S59" i="2" s="1"/>
  <c r="S61" i="2" s="1"/>
  <c r="S69" i="2" s="1"/>
  <c r="M45" i="11"/>
  <c r="L38" i="11"/>
  <c r="R52" i="2" s="1"/>
  <c r="R59" i="2" s="1"/>
  <c r="R61" i="2" s="1"/>
  <c r="R69" i="2" s="1"/>
  <c r="L45" i="11"/>
  <c r="J38" i="11"/>
  <c r="P52" i="2" s="1"/>
  <c r="P59" i="2" s="1"/>
  <c r="P61" i="2" s="1"/>
  <c r="P69" i="2" s="1"/>
  <c r="E38" i="11"/>
  <c r="K52" i="2" s="1"/>
  <c r="K59" i="2" s="1"/>
  <c r="K61" i="2" s="1"/>
  <c r="K69" i="2" s="1"/>
  <c r="E45" i="11"/>
  <c r="C38" i="11"/>
  <c r="C45" i="11"/>
  <c r="D38" i="11"/>
  <c r="J52" i="2" s="1"/>
  <c r="J59" i="2" s="1"/>
  <c r="J61" i="2" s="1"/>
  <c r="J69" i="2" s="1"/>
  <c r="D45" i="11"/>
  <c r="B38" i="11"/>
  <c r="B45" i="11" s="1"/>
  <c r="O45" i="11"/>
  <c r="O71" i="2" l="1"/>
  <c r="O73" i="2" s="1"/>
  <c r="K71" i="2"/>
  <c r="K73" i="2" s="1"/>
  <c r="N71" i="2"/>
  <c r="N73" i="2" s="1"/>
  <c r="Q71" i="2"/>
  <c r="Q73" i="2" s="1"/>
  <c r="L71" i="2"/>
  <c r="L73" i="2" s="1"/>
  <c r="M71" i="2"/>
  <c r="M73" i="2" s="1"/>
  <c r="I71" i="2"/>
  <c r="I73" i="2" s="1"/>
  <c r="J71" i="2"/>
  <c r="J73" i="2" s="1"/>
  <c r="P71" i="2"/>
  <c r="P73" i="2" s="1"/>
  <c r="R71" i="2"/>
  <c r="R73" i="2" s="1"/>
  <c r="S71" i="2"/>
  <c r="S73" i="2" s="1"/>
  <c r="N38" i="11"/>
  <c r="N45" i="11" s="1"/>
  <c r="J45" i="11"/>
  <c r="H52" i="2"/>
  <c r="H59" i="2" l="1"/>
  <c r="H61" i="2" s="1"/>
  <c r="H69" i="2" s="1"/>
  <c r="T52" i="2"/>
  <c r="U52" i="2" l="1"/>
  <c r="T59" i="2"/>
  <c r="H71" i="2"/>
  <c r="H73" i="2" s="1"/>
  <c r="U59" i="2" l="1"/>
  <c r="T61" i="2"/>
  <c r="U61" i="2" l="1"/>
  <c r="T69" i="2"/>
  <c r="U69" i="2" l="1"/>
  <c r="T71" i="2"/>
  <c r="U71" i="2" s="1"/>
  <c r="T73" i="2" l="1"/>
  <c r="F64" i="3" s="1"/>
  <c r="B49" i="39" l="1"/>
  <c r="B50" i="39" s="1"/>
  <c r="F5" i="4"/>
  <c r="F19" i="4" s="1"/>
  <c r="U73" i="2"/>
  <c r="F74" i="3"/>
  <c r="F54" i="3"/>
  <c r="F56" i="3" s="1"/>
  <c r="F58" i="3" s="1"/>
  <c r="E56" i="3"/>
  <c r="E58" i="3" s="1"/>
  <c r="F73" i="3"/>
  <c r="E64" i="3"/>
  <c r="E66" i="3" s="1"/>
  <c r="F66" i="3"/>
  <c r="B52" i="39" l="1"/>
  <c r="F68" i="3"/>
  <c r="G68" i="3" s="1"/>
  <c r="F72" i="3"/>
  <c r="F33" i="4"/>
  <c r="F35" i="4" s="1"/>
  <c r="F39" i="4" s="1"/>
  <c r="B59" i="39"/>
  <c r="E68" i="3"/>
  <c r="D14" i="3"/>
  <c r="C14" i="3"/>
  <c r="C32" i="3" s="1"/>
  <c r="D71" i="3" l="1"/>
  <c r="D32" i="3"/>
  <c r="F7" i="3"/>
  <c r="F14" i="3" s="1"/>
  <c r="F71" i="3" l="1"/>
  <c r="F3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tc={DC37ECDA-EA1F-4499-BC28-67D96B0F5E6B}</author>
    <author>tc={B4B8FC48-95E2-4B07-8C96-47812FF0C530}</author>
    <author>tc={4C3EC2DC-46E6-490B-8BDB-258CA193A983}</author>
    <author>tc={C411DF58-3EFD-4FA5-9533-016AA9F9A3C7}</author>
  </authors>
  <commentList>
    <comment ref="O19" authorId="0" shapeId="0" xr:uid="{DC37ECDA-EA1F-4499-BC28-67D96B0F5E6B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labor rates-DP tab</t>
      </text>
    </comment>
    <comment ref="O28" authorId="1" shapeId="0" xr:uid="{B4B8FC48-95E2-4B07-8C96-47812FF0C530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labor rates-DP tab - split between consulting, PC hardware, PC software, Internet</t>
      </text>
    </comment>
    <comment ref="A38" authorId="2" shapeId="0" xr:uid="{4C3EC2DC-46E6-490B-8BDB-258CA193A983}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Duplicate account</t>
      </text>
    </comment>
    <comment ref="O44" authorId="3" shapeId="0" xr:uid="{C411DF58-3EFD-4FA5-9533-016AA9F9A3C7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labor rates-DP tab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Chuck Holmquist</author>
  </authors>
  <commentList>
    <comment ref="A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Chuck Holmquist:</t>
        </r>
        <r>
          <rPr>
            <sz val="9"/>
            <color indexed="81"/>
            <rFont val="Tahoma"/>
            <family val="2"/>
          </rPr>
          <t xml:space="preserve">
To more accurately reflect "Sales on Account" for calculation purposes s/be removing the annual change in Labor &amp; Material WIP </t>
        </r>
      </text>
    </comment>
    <comment ref="A2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Chuck Holmquist:</t>
        </r>
        <r>
          <rPr>
            <sz val="9"/>
            <color indexed="81"/>
            <rFont val="Tahoma"/>
            <family val="2"/>
          </rPr>
          <t xml:space="preserve">
To more accurately reflect "Sales on Account" for calculation purposes s/be removing the annual change in Labor &amp; Material WIP </t>
        </r>
      </text>
    </comment>
  </commentList>
</comments>
</file>

<file path=xl/sharedStrings.xml><?xml version="1.0" encoding="utf-8"?>
<sst xmlns="http://schemas.openxmlformats.org/spreadsheetml/2006/main" count="1031" uniqueCount="419">
  <si>
    <t>Budgeted</t>
  </si>
  <si>
    <t>$</t>
  </si>
  <si>
    <t>Labor</t>
  </si>
  <si>
    <t>Sales</t>
  </si>
  <si>
    <t>Ratio</t>
  </si>
  <si>
    <t>%</t>
  </si>
  <si>
    <t>Cost Of</t>
  </si>
  <si>
    <t>Gross</t>
  </si>
  <si>
    <t>Profit</t>
  </si>
  <si>
    <t xml:space="preserve">    Total</t>
  </si>
  <si>
    <t xml:space="preserve"> </t>
  </si>
  <si>
    <t>Used</t>
  </si>
  <si>
    <t>3 Yr. Avg.</t>
  </si>
  <si>
    <t>Average</t>
  </si>
  <si>
    <t>General Insurance</t>
  </si>
  <si>
    <t>Machinery Rental</t>
  </si>
  <si>
    <t>Licenses &amp; Permits</t>
  </si>
  <si>
    <t>Safety Expense</t>
  </si>
  <si>
    <t>Taxes-Other</t>
  </si>
  <si>
    <t>Tools</t>
  </si>
  <si>
    <t>Employee Training &amp; Seminars</t>
  </si>
  <si>
    <t>Dues &amp; Subscriptions</t>
  </si>
  <si>
    <t>Interest Income</t>
  </si>
  <si>
    <t>Interest Expense</t>
  </si>
  <si>
    <t>Telephone</t>
  </si>
  <si>
    <t>Contributions</t>
  </si>
  <si>
    <t xml:space="preserve">  Total Operating Expenses</t>
  </si>
  <si>
    <t>Total</t>
  </si>
  <si>
    <t>Annual</t>
  </si>
  <si>
    <t>Expense</t>
  </si>
  <si>
    <t xml:space="preserve">  Total</t>
  </si>
  <si>
    <t>To</t>
  </si>
  <si>
    <t>Actual</t>
  </si>
  <si>
    <t>CONTRACT REVENUES EARNED</t>
  </si>
  <si>
    <t>Work in Process Adjmt.-Labor</t>
  </si>
  <si>
    <t>COST OF REVENUES EARNED</t>
  </si>
  <si>
    <t>DIRECT LABOR</t>
  </si>
  <si>
    <t xml:space="preserve">   Total Direct Labor</t>
  </si>
  <si>
    <t xml:space="preserve">     Gross Profit</t>
  </si>
  <si>
    <t>OPERATING EXPENSES</t>
  </si>
  <si>
    <t xml:space="preserve">  Income Before Income Taxes</t>
  </si>
  <si>
    <t xml:space="preserve">       Net Income/(Loss)</t>
  </si>
  <si>
    <t>At</t>
  </si>
  <si>
    <t>Change</t>
  </si>
  <si>
    <t xml:space="preserve">         ASSETS</t>
  </si>
  <si>
    <t>CURRENT ASSETS</t>
  </si>
  <si>
    <t>Cash</t>
  </si>
  <si>
    <t xml:space="preserve">  Total Current Assets</t>
  </si>
  <si>
    <t>FIXED ASSETS</t>
  </si>
  <si>
    <t>Buildings &amp; Improvements</t>
  </si>
  <si>
    <t>Machinery &amp; Equipment</t>
  </si>
  <si>
    <t>Office Equipment</t>
  </si>
  <si>
    <t xml:space="preserve">   Total Cost</t>
  </si>
  <si>
    <t xml:space="preserve">   Accumulated Depreciation</t>
  </si>
  <si>
    <t xml:space="preserve">     Net Fixed Asset</t>
  </si>
  <si>
    <t>OTHER ASSETS</t>
  </si>
  <si>
    <t xml:space="preserve">       Total Assets</t>
  </si>
  <si>
    <t>LIABILITIES AND EQUITY</t>
  </si>
  <si>
    <t>CURRENT LIABILITIES</t>
  </si>
  <si>
    <t>Accounts Payable</t>
  </si>
  <si>
    <t>Accrued Interest</t>
  </si>
  <si>
    <t>Accrued Insurance</t>
  </si>
  <si>
    <t>Accrued Salaries and Wages</t>
  </si>
  <si>
    <t>Accrued Employee Pension</t>
  </si>
  <si>
    <t>Accrued Other Taxes Payable</t>
  </si>
  <si>
    <t xml:space="preserve">   Total Current Liabilities</t>
  </si>
  <si>
    <t>LONG-TERM DEBT</t>
  </si>
  <si>
    <t>Note Payable-CBC</t>
  </si>
  <si>
    <t xml:space="preserve">    Total Long Term Debt</t>
  </si>
  <si>
    <t xml:space="preserve">       Total Liabilities</t>
  </si>
  <si>
    <t>SHAREHOLDERS' EQUITY</t>
  </si>
  <si>
    <t>Common Stock</t>
  </si>
  <si>
    <t>Retained Earnings</t>
  </si>
  <si>
    <t>Net Income or (Loss)</t>
  </si>
  <si>
    <t xml:space="preserve">    Total Shareholders' Equity</t>
  </si>
  <si>
    <t xml:space="preserve">      Total Liabilities and Equity</t>
  </si>
  <si>
    <t>Working Capital Ratio</t>
  </si>
  <si>
    <t>Debt to Equity Ratio</t>
  </si>
  <si>
    <t>Return on BOY Equity</t>
  </si>
  <si>
    <t>Cash Flows from Operating Activities</t>
  </si>
  <si>
    <t>Net Income/(Loss)</t>
  </si>
  <si>
    <t>Adjustments to reconcile net income to</t>
  </si>
  <si>
    <t xml:space="preserve">    Net Cash Provided (Used) by Operating Activities</t>
  </si>
  <si>
    <t>Cash Flows from Investing Activities</t>
  </si>
  <si>
    <t xml:space="preserve">    Net Cash Provided (Used) by Investing Activities</t>
  </si>
  <si>
    <t>Cash Flows from Financing Activities</t>
  </si>
  <si>
    <t xml:space="preserve">    Net Cash Provided (Used) by Financing Activities</t>
  </si>
  <si>
    <t>Increase/(Decrease) in Cash</t>
  </si>
  <si>
    <t>Depreciation</t>
  </si>
  <si>
    <t>Admin.-Travel &amp; Mileage</t>
  </si>
  <si>
    <t>Office Supplies Expense</t>
  </si>
  <si>
    <t>Pension Expense</t>
  </si>
  <si>
    <t>Repair &amp; Maintenance-Building</t>
  </si>
  <si>
    <t xml:space="preserve">    Operating Income/(Loss)</t>
  </si>
  <si>
    <t>OTHER (INCOME)/EXPENSE</t>
  </si>
  <si>
    <t>(Gain)/Loss on Sale of Assets</t>
  </si>
  <si>
    <t xml:space="preserve">  Total Other (Income)/Expense</t>
  </si>
  <si>
    <t>Accounting &amp; Legal</t>
  </si>
  <si>
    <t>Advertising &amp; Sales and Promotion</t>
  </si>
  <si>
    <t>Insurance-Group Health &amp; Life</t>
  </si>
  <si>
    <t>WIP-Cost + Earnings &gt; Billings</t>
  </si>
  <si>
    <t>WIP-Billings &gt; Cost + Earnings</t>
  </si>
  <si>
    <t>Cash at Beginning of Year</t>
  </si>
  <si>
    <t>Cash at End of Year</t>
  </si>
  <si>
    <t>YTD</t>
  </si>
  <si>
    <t>Computer-PC Hardware</t>
  </si>
  <si>
    <t>Computer-PC Software</t>
  </si>
  <si>
    <t>Computer-Internet Expense</t>
  </si>
  <si>
    <t>Corporate Overhead Allocation</t>
  </si>
  <si>
    <t>(Used)</t>
  </si>
  <si>
    <t>Accrued Bonus</t>
  </si>
  <si>
    <t>Labor Sales</t>
  </si>
  <si>
    <t>Material &amp; Subcontract Sales</t>
  </si>
  <si>
    <t>FUTA Expense</t>
  </si>
  <si>
    <t>Accrued Union Fringes</t>
  </si>
  <si>
    <t>S</t>
  </si>
  <si>
    <t>Overhead</t>
  </si>
  <si>
    <t>Miscellaneous</t>
  </si>
  <si>
    <t>Material Sales</t>
  </si>
  <si>
    <t>Subcontract Sales</t>
  </si>
  <si>
    <t xml:space="preserve">  Total Material &amp; Subcontract Sales</t>
  </si>
  <si>
    <t>WIP Adjustment-Material</t>
  </si>
  <si>
    <t>Mat'l &amp; Sub</t>
  </si>
  <si>
    <t>Computer-Consulting Fees</t>
  </si>
  <si>
    <t>Y/E</t>
  </si>
  <si>
    <t>Note:</t>
  </si>
  <si>
    <t>The detailed calculation is maintained in the USC budget file.</t>
  </si>
  <si>
    <t>Corporate</t>
  </si>
  <si>
    <t>Allocation</t>
  </si>
  <si>
    <t>Interest</t>
  </si>
  <si>
    <t>Note Payable-Parent-USC</t>
  </si>
  <si>
    <t xml:space="preserve">  Note Receivable-Parent-USC</t>
  </si>
  <si>
    <t>Office Equipment Rental Exp</t>
  </si>
  <si>
    <t>Average AR</t>
  </si>
  <si>
    <t>AR at BOY</t>
  </si>
  <si>
    <t>AR at EOY</t>
  </si>
  <si>
    <t>Avg # Days O/S</t>
  </si>
  <si>
    <t>AR Turnover/Yr.</t>
  </si>
  <si>
    <t>Federal Income Tax Exp.</t>
  </si>
  <si>
    <t>(agrees)</t>
  </si>
  <si>
    <t>DEFERRED INCOME TAXES</t>
  </si>
  <si>
    <t xml:space="preserve">  Deferred Tax Asset</t>
  </si>
  <si>
    <t>MONTHS</t>
  </si>
  <si>
    <t>RATIO</t>
  </si>
  <si>
    <t>MIDWEST</t>
  </si>
  <si>
    <t>WIP $'s</t>
  </si>
  <si>
    <t>Sales $'s</t>
  </si>
  <si>
    <t>Avg</t>
  </si>
  <si>
    <t>AP $'s</t>
  </si>
  <si>
    <t>PERSONNEL</t>
  </si>
  <si>
    <t>WEEKLY HOURS</t>
  </si>
  <si>
    <t>EFFICIENCY</t>
  </si>
  <si>
    <t>TOTAL HOURS</t>
  </si>
  <si>
    <t>DIRECT LABOR RATE</t>
  </si>
  <si>
    <t>Total Hours</t>
  </si>
  <si>
    <t>Average Labor Rate</t>
  </si>
  <si>
    <t>Average Direct Labor Rate</t>
  </si>
  <si>
    <t>METC</t>
  </si>
  <si>
    <t>06-40 ITC Warehouse</t>
  </si>
  <si>
    <t>(Actual Avg rate from Labor Accrual)</t>
  </si>
  <si>
    <t>(12/31/14 = 1.8)</t>
  </si>
  <si>
    <t>(12/31/14 = 1.69)</t>
  </si>
  <si>
    <t>(12/31/14 = 1.70)</t>
  </si>
  <si>
    <t xml:space="preserve">ITC </t>
  </si>
  <si>
    <t xml:space="preserve">Employee Benefits </t>
  </si>
  <si>
    <t>Prepaid Consulting Fees</t>
  </si>
  <si>
    <t>Sales per F/S</t>
  </si>
  <si>
    <t>Hoosier Substation</t>
  </si>
  <si>
    <t>Total Renewables</t>
  </si>
  <si>
    <t>Accrued Health Insurance Payable</t>
  </si>
  <si>
    <t>Accrued Property Taxes</t>
  </si>
  <si>
    <t>Explanation</t>
  </si>
  <si>
    <t>Benefits</t>
  </si>
  <si>
    <t>CONFIDENCE LEVEL</t>
  </si>
  <si>
    <t>LOCAL</t>
  </si>
  <si>
    <t>FICA Expense</t>
  </si>
  <si>
    <t>CREW SIZE</t>
  </si>
  <si>
    <t>TOTAL PERSONNEL</t>
  </si>
  <si>
    <t xml:space="preserve">Actual </t>
  </si>
  <si>
    <t xml:space="preserve">Budget </t>
  </si>
  <si>
    <t>CUSTOMER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</si>
  <si>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</si>
  <si>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</si>
  <si>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</si>
  <si>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</si>
  <si>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</si>
  <si>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</si>
  <si>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</si>
  <si>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</si>
  <si>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</si>
  <si>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</si>
  <si>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</si>
  <si>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</si>
  <si>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WEEKS OF PAYROLL</t>
  </si>
  <si>
    <t xml:space="preserve">Total Revenue </t>
  </si>
  <si>
    <t>Total Revenue w/Confidence Level</t>
  </si>
  <si>
    <t xml:space="preserve">DL REVENUE AT 100% </t>
  </si>
  <si>
    <t>DL REVENUE W/CONFIDENCE LEVEL</t>
  </si>
  <si>
    <t>CUSTOMER NAME</t>
  </si>
  <si>
    <t>Total Labor Sales</t>
  </si>
  <si>
    <t xml:space="preserve">April </t>
  </si>
  <si>
    <t>Jan</t>
  </si>
  <si>
    <t>Feb</t>
  </si>
  <si>
    <t>Mar</t>
  </si>
  <si>
    <t>Apr</t>
  </si>
  <si>
    <t>Jun</t>
  </si>
  <si>
    <t>Aug</t>
  </si>
  <si>
    <t>Oct</t>
  </si>
  <si>
    <t>Nov</t>
  </si>
  <si>
    <t>Dec</t>
  </si>
  <si>
    <t xml:space="preserve">July </t>
  </si>
  <si>
    <t>Sept</t>
  </si>
  <si>
    <t>Total Budgeted</t>
  </si>
  <si>
    <t xml:space="preserve">Annual </t>
  </si>
  <si>
    <t>Material</t>
  </si>
  <si>
    <t xml:space="preserve">Aug </t>
  </si>
  <si>
    <t>Contracts Receivable - Unbilled</t>
  </si>
  <si>
    <t xml:space="preserve">  Total Revenues</t>
  </si>
  <si>
    <t>Material Inventory</t>
  </si>
  <si>
    <t>net cash used by operating activities:</t>
  </si>
  <si>
    <t>(Gain)/Loss on Sale of Property and Eqpt.</t>
  </si>
  <si>
    <t>Changes in operating assets and liabilities:</t>
  </si>
  <si>
    <t>Accounts Receivable</t>
  </si>
  <si>
    <t>Contracts Receivable</t>
  </si>
  <si>
    <t>Prepaid Expenses</t>
  </si>
  <si>
    <t>Accrued Expenses</t>
  </si>
  <si>
    <t>Additions to Property and Equipment</t>
  </si>
  <si>
    <t>Net (Increase)/Decrease to Note Receivable-USC</t>
  </si>
  <si>
    <t>Proceeds from Sale of Property and Eqpt.</t>
  </si>
  <si>
    <t>Collections of Note Receivable-Shareholder</t>
  </si>
  <si>
    <t>Net Increase/(Decrease) to Note Payable-USC</t>
  </si>
  <si>
    <t>Proceeds from Issuance of Common Stock</t>
  </si>
  <si>
    <t>Y</t>
  </si>
  <si>
    <t>N</t>
  </si>
  <si>
    <t>Storm Chasers</t>
  </si>
  <si>
    <t>Balance Sheet</t>
  </si>
  <si>
    <t>Stmt of Cash Flows</t>
  </si>
  <si>
    <t>Keys to success:</t>
  </si>
  <si>
    <t xml:space="preserve">Expense Structure </t>
  </si>
  <si>
    <t>Key Assumptions:</t>
  </si>
  <si>
    <t>Budget File Review:</t>
  </si>
  <si>
    <t>Revenues and growth opportunities</t>
  </si>
  <si>
    <t>Assets In Progress</t>
  </si>
  <si>
    <t>Direct Labor</t>
  </si>
  <si>
    <t>06-60 EPC</t>
  </si>
  <si>
    <t>Duke OH</t>
  </si>
  <si>
    <t xml:space="preserve">Duke IN </t>
  </si>
  <si>
    <t>AES - OH</t>
  </si>
  <si>
    <t>Sales-EPC</t>
  </si>
  <si>
    <t>Labor-EPC</t>
  </si>
  <si>
    <t>2021 Actual</t>
  </si>
  <si>
    <t>2022 Budget</t>
  </si>
  <si>
    <t>Accounts Receivable (Budget = 60 days)</t>
  </si>
  <si>
    <t>North</t>
  </si>
  <si>
    <t>West</t>
  </si>
  <si>
    <t>Total Revenue</t>
  </si>
  <si>
    <t>% Change</t>
  </si>
  <si>
    <t>Gross Profit %</t>
  </si>
  <si>
    <t>HW Sales by Region</t>
  </si>
  <si>
    <t xml:space="preserve">South </t>
  </si>
  <si>
    <t>Storm - Mutual Aid</t>
  </si>
  <si>
    <t>Net Income as a % to sales</t>
  </si>
  <si>
    <t>Net Increase/(Decrease) to Term Debt</t>
  </si>
  <si>
    <t>Total Cost</t>
  </si>
  <si>
    <t>Revision Date</t>
  </si>
  <si>
    <t>Labor &amp; Expenses</t>
  </si>
  <si>
    <t>Bonus%</t>
  </si>
  <si>
    <t>+Bonus</t>
  </si>
  <si>
    <t>Eff Hrly</t>
  </si>
  <si>
    <t>Meals/mo</t>
  </si>
  <si>
    <t>Phone/mo</t>
  </si>
  <si>
    <t>Supplies/mo</t>
  </si>
  <si>
    <t>Lodging/qtr</t>
  </si>
  <si>
    <t>Travel/qtr</t>
  </si>
  <si>
    <t>Training/qtr</t>
  </si>
  <si>
    <t>Licensure/qtr</t>
  </si>
  <si>
    <t>Software/yr</t>
  </si>
  <si>
    <t>Misc Total/yr</t>
  </si>
  <si>
    <t>Roy</t>
  </si>
  <si>
    <t>Kevin</t>
  </si>
  <si>
    <t>Insurance</t>
  </si>
  <si>
    <t>Labor Total</t>
  </si>
  <si>
    <t>USC Overhead Allocation</t>
  </si>
  <si>
    <t>Group Total</t>
  </si>
  <si>
    <t>Revenue</t>
  </si>
  <si>
    <t>Total Hrs</t>
  </si>
  <si>
    <t>Vacation</t>
  </si>
  <si>
    <t>Non-Billable</t>
  </si>
  <si>
    <t>Bids</t>
  </si>
  <si>
    <t>Billable</t>
  </si>
  <si>
    <t>Bill Rate</t>
  </si>
  <si>
    <t>Billable $</t>
  </si>
  <si>
    <t>Billable Utilization</t>
  </si>
  <si>
    <t>Net Profit</t>
  </si>
  <si>
    <t>Net Margin</t>
  </si>
  <si>
    <t>Assumptions</t>
  </si>
  <si>
    <t>Revenue to be calculated based on amount of Billable Hours</t>
  </si>
  <si>
    <t>CVR Engineering administrative tasks (invoicing, tracking, etc.) to be taken care of by Roy &amp; Angelina</t>
  </si>
  <si>
    <t>Prepaid Insurance</t>
  </si>
  <si>
    <t>Accrued Payroll</t>
  </si>
  <si>
    <t>Membership Interest</t>
  </si>
  <si>
    <t>Proceeds from Membership Interest</t>
  </si>
  <si>
    <t>2022 Actual</t>
  </si>
  <si>
    <t>CVR Sales</t>
  </si>
  <si>
    <t>CVR Gross Profit $ and %</t>
  </si>
  <si>
    <t>CVR Net Income $ and %</t>
  </si>
  <si>
    <t>CVR Cap Ex</t>
  </si>
  <si>
    <t xml:space="preserve">CVR Cash Flow </t>
  </si>
  <si>
    <t>Engineering</t>
  </si>
  <si>
    <t>CVR Billable Labor hours</t>
  </si>
  <si>
    <t>CVR Non-Billable Labor hours</t>
  </si>
  <si>
    <t>Customer Relationship buildng</t>
  </si>
  <si>
    <t xml:space="preserve"> Successful bids</t>
  </si>
  <si>
    <t xml:space="preserve">     Non-Billable Hours = administrative, down time, and other non-billable time - assumed at 15%</t>
  </si>
  <si>
    <t xml:space="preserve">    Bids = preliminary design and proposal development efforts - assumed at 20%</t>
  </si>
  <si>
    <t>Labor Cost Breakdown</t>
  </si>
  <si>
    <t>EBITDA (CVR Only)</t>
  </si>
  <si>
    <t>Hayley</t>
  </si>
  <si>
    <t>Craig</t>
  </si>
  <si>
    <t>Randy - PT</t>
  </si>
  <si>
    <t>Retirement</t>
  </si>
  <si>
    <t>Health Ins</t>
  </si>
  <si>
    <t>Taxes</t>
  </si>
  <si>
    <t>CVR Engineering administrative tasks (invoicing, tracking, etc.) to be taken care of by Roy &amp; Pamela</t>
  </si>
  <si>
    <t>Revenue Breakdown</t>
  </si>
  <si>
    <t>Jul</t>
  </si>
  <si>
    <t>Sep</t>
  </si>
  <si>
    <t>Billable Hrs at % of revenue</t>
  </si>
  <si>
    <t>Billable HOURS</t>
  </si>
  <si>
    <t>Unbillable hrs-% of revenue</t>
  </si>
  <si>
    <t>Total non billable Hours</t>
  </si>
  <si>
    <t>Indirect Labor</t>
  </si>
  <si>
    <t xml:space="preserve"> Expenses</t>
  </si>
  <si>
    <t>Labor- Indirect</t>
  </si>
  <si>
    <t>Fuel Expense</t>
  </si>
  <si>
    <t>Repair &amp; Maint Equip</t>
  </si>
  <si>
    <t>Work Comp Insurance</t>
  </si>
  <si>
    <t>Admin. Meals &amp; Ent.</t>
  </si>
  <si>
    <t xml:space="preserve">Bank Charges  </t>
  </si>
  <si>
    <t>Employee Bonus</t>
  </si>
  <si>
    <t>Employee Vac and Hol Pay</t>
  </si>
  <si>
    <t>State Unemployment Expense</t>
  </si>
  <si>
    <t>Mileage Expense</t>
  </si>
  <si>
    <t>Employee Pre-Emp Physicals</t>
  </si>
  <si>
    <t>Last Name</t>
  </si>
  <si>
    <t>First Name</t>
  </si>
  <si>
    <t>Business Unit</t>
  </si>
  <si>
    <t>Title</t>
  </si>
  <si>
    <t xml:space="preserve"> Annual Base Salary </t>
  </si>
  <si>
    <t>S/H</t>
  </si>
  <si>
    <t>Class</t>
  </si>
  <si>
    <t>Annual Health Ins cost</t>
  </si>
  <si>
    <t xml:space="preserve">FUTA </t>
  </si>
  <si>
    <t>SUTA</t>
  </si>
  <si>
    <t xml:space="preserve">Social Security </t>
  </si>
  <si>
    <t>Medicare</t>
  </si>
  <si>
    <t>Work Comp</t>
  </si>
  <si>
    <t>Safe Harbor 3%</t>
  </si>
  <si>
    <t>Profit Sharing 2%</t>
  </si>
  <si>
    <t xml:space="preserve">X-Mas Gift Eligible </t>
  </si>
  <si>
    <t xml:space="preserve"> S </t>
  </si>
  <si>
    <t>FT</t>
  </si>
  <si>
    <t>PT</t>
  </si>
  <si>
    <t>Collin</t>
  </si>
  <si>
    <t>Taylor</t>
  </si>
  <si>
    <t>Bhkti</t>
  </si>
  <si>
    <t>Auston - PT</t>
  </si>
  <si>
    <t>Bonus</t>
  </si>
  <si>
    <t>Composite Billable Hour Rate</t>
  </si>
  <si>
    <t>Composite Rate</t>
  </si>
  <si>
    <t>Composite Labor Costing Rate</t>
  </si>
  <si>
    <t>Billable Hours</t>
  </si>
  <si>
    <t>Toal Hours</t>
  </si>
  <si>
    <t>DL Costing Rate</t>
  </si>
  <si>
    <t>Joseph - PT</t>
  </si>
  <si>
    <t>Francis</t>
  </si>
  <si>
    <t>Alicia</t>
  </si>
  <si>
    <t xml:space="preserve"> 2026 Annual Base Salary </t>
  </si>
  <si>
    <t>2026 Wage Adjustment %</t>
  </si>
  <si>
    <t>2026 Wages</t>
  </si>
  <si>
    <t xml:space="preserve"> 2026 Hourly Rate </t>
  </si>
  <si>
    <t>H</t>
  </si>
  <si>
    <t>2026 CVR Engineering Budget</t>
  </si>
  <si>
    <t>Total Hrs = (52 wks x 40 hrs/wk)</t>
  </si>
  <si>
    <t>Bill Rate takes into account most conservativce hourly billing rate (e.g. Roy can be billed as Principal or Senior Engineer)</t>
  </si>
  <si>
    <t>USC Allocations based on time breakdown (%) as indicated on 2026 Special Projects Budget</t>
  </si>
  <si>
    <t>Year 2026 Allocation</t>
  </si>
  <si>
    <t xml:space="preserve">     Total Hrs = (52 wks x 40 hrs/wk) +</t>
  </si>
  <si>
    <t xml:space="preserve">    Bill Rate takes into account most conservativce hourly billing rate (e.g. Roy can be billed as Principal or Senior Engineer)</t>
  </si>
  <si>
    <t>12/31/26</t>
  </si>
  <si>
    <t>2025 Budget</t>
  </si>
  <si>
    <t>2025 Actual</t>
  </si>
  <si>
    <t>2026 Budget</t>
  </si>
  <si>
    <t>Vacation Annual Estimate</t>
  </si>
  <si>
    <t>Workers Comp</t>
  </si>
  <si>
    <t>Check</t>
  </si>
  <si>
    <t>Life Ins/other?</t>
  </si>
  <si>
    <t>Labor Tab Totals</t>
  </si>
  <si>
    <t>Labor Rates - DP Totals</t>
  </si>
  <si>
    <t>Total OPEX:</t>
  </si>
  <si>
    <t>Bids = preliminary design and proposal development efforts - % determined by Roy and Bret</t>
  </si>
  <si>
    <t>Non-Billable Hours = administrative, down time, and other non-billable time - % determined by Roy and Bret</t>
  </si>
  <si>
    <t>3 Yr</t>
  </si>
  <si>
    <t>Bonus %</t>
  </si>
  <si>
    <t>ENG - 1</t>
  </si>
  <si>
    <t>VP of Engineering</t>
  </si>
  <si>
    <t>Senior Engineer</t>
  </si>
  <si>
    <t>ENG - 3</t>
  </si>
  <si>
    <t>Priciple Eng</t>
  </si>
  <si>
    <t>ENG - 2</t>
  </si>
  <si>
    <t>Graphics Tech</t>
  </si>
  <si>
    <t>Senior Desinger</t>
  </si>
  <si>
    <t>Eng - 4</t>
  </si>
  <si>
    <t>Percentage</t>
  </si>
  <si>
    <t>Mike C. - PT</t>
  </si>
  <si>
    <t>Calc'd at 25% (previously used 35%)</t>
  </si>
  <si>
    <t>CVR Engineering</t>
  </si>
  <si>
    <t>Final</t>
  </si>
  <si>
    <t>10 to PTO, 40 to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</si>
</sst>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0_)"/>
    <numFmt numFmtId="166" formatCode="mm/dd/yy"/>
    <numFmt numFmtId="167" formatCode="0.0%"/>
    <numFmt numFmtId="168" formatCode="mm/dd/yy;@"/>
    <numFmt numFmtId="169" formatCode="_(&quot;$&quot;* #,##0_);_(&quot;$&quot;* \(#,##0\);_(&quot;$&quot;* &quot;-&quot;??_);_(@_)"/>
    <numFmt numFmtId="170" formatCode="&quot;$&quot;#,##0.00"/>
    <numFmt numFmtId="171" formatCode="_(* #,##0_);_(* \(#,##0\);_(* &quot;-&quot;??_);_(@_)"/>
    <numFmt numFmtId="172" formatCode="&quot;$&quot;#,##0"/>
  </numFmts>
  <fonts count="42">
    <font>
      <sz val="12"/>
      <name val="Arial MT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 MT"/>
    </font>
    <font>
      <b/>
      <u/>
      <sz val="12"/>
      <name val="Arial MT"/>
    </font>
    <font>
      <sz val="12"/>
      <name val="Arial MT"/>
    </font>
    <font>
      <sz val="10"/>
      <name val="Arial MT"/>
    </font>
    <font>
      <b/>
      <sz val="9"/>
      <name val="Arial MT"/>
    </font>
    <font>
      <sz val="11"/>
      <name val="Arial MT"/>
    </font>
    <font>
      <b/>
      <sz val="12"/>
      <color indexed="10"/>
      <name val="Arial MT"/>
    </font>
    <font>
      <b/>
      <sz val="10"/>
      <color indexed="10"/>
      <name val="Arial MT"/>
    </font>
    <font>
      <sz val="12"/>
      <color indexed="10"/>
      <name val="Arial MT"/>
    </font>
    <font>
      <sz val="12"/>
      <color indexed="10"/>
      <name val="Arial MT"/>
    </font>
    <font>
      <sz val="12"/>
      <color rgb="FFFF0000"/>
      <name val="Arial MT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0"/>
      <name val="Arial MT"/>
    </font>
    <font>
      <b/>
      <sz val="12"/>
      <color theme="0"/>
      <name val="Arial"/>
      <family val="2"/>
    </font>
    <font>
      <b/>
      <sz val="20"/>
      <color theme="0"/>
      <name val="Arial"/>
      <family val="2"/>
    </font>
    <font>
      <b/>
      <sz val="24"/>
      <color theme="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2"/>
      <color rgb="FF0070C0"/>
      <name val="Arial MT"/>
    </font>
    <font>
      <b/>
      <sz val="1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2"/>
      <color rgb="FF00B050"/>
      <name val="Arial MT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164" fontId="0" fillId="0" borderId="0"/>
    <xf numFmtId="0" fontId="19" fillId="0" borderId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73">
    <xf numFmtId="164" fontId="0" fillId="0" borderId="0" xfId="0"/>
    <xf numFmtId="7" fontId="0" fillId="0" borderId="0" xfId="0" applyNumberFormat="1"/>
    <xf numFmtId="37" fontId="0" fillId="0" borderId="0" xfId="0" applyNumberFormat="1"/>
    <xf numFmtId="7" fontId="0" fillId="0" borderId="0" xfId="0" applyNumberFormat="1" applyAlignment="1">
      <alignment horizontal="left"/>
    </xf>
    <xf numFmtId="164" fontId="0" fillId="0" borderId="0" xfId="0" applyAlignment="1">
      <alignment horizontal="left"/>
    </xf>
    <xf numFmtId="7" fontId="6" fillId="0" borderId="0" xfId="0" applyNumberFormat="1" applyFont="1" applyAlignment="1">
      <alignment horizontal="center"/>
    </xf>
    <xf numFmtId="37" fontId="6" fillId="0" borderId="0" xfId="0" applyNumberFormat="1" applyFont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/>
    <xf numFmtId="37" fontId="6" fillId="0" borderId="1" xfId="0" applyNumberFormat="1" applyFont="1" applyBorder="1" applyAlignment="1">
      <alignment horizontal="center"/>
    </xf>
    <xf numFmtId="7" fontId="6" fillId="0" borderId="0" xfId="0" applyNumberFormat="1" applyFont="1" applyAlignment="1">
      <alignment horizontal="left"/>
    </xf>
    <xf numFmtId="164" fontId="6" fillId="0" borderId="0" xfId="0" applyFont="1" applyAlignment="1">
      <alignment horizontal="left"/>
    </xf>
    <xf numFmtId="164" fontId="6" fillId="0" borderId="1" xfId="0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3" fontId="0" fillId="0" borderId="0" xfId="0" applyNumberFormat="1"/>
    <xf numFmtId="164" fontId="7" fillId="0" borderId="0" xfId="0" applyFont="1"/>
    <xf numFmtId="10" fontId="0" fillId="0" borderId="0" xfId="0" applyNumberFormat="1"/>
    <xf numFmtId="3" fontId="6" fillId="0" borderId="0" xfId="0" applyNumberFormat="1" applyFont="1" applyAlignment="1">
      <alignment horizontal="center"/>
    </xf>
    <xf numFmtId="3" fontId="6" fillId="0" borderId="1" xfId="0" applyNumberFormat="1" applyFont="1" applyBorder="1" applyAlignment="1">
      <alignment horizontal="center"/>
    </xf>
    <xf numFmtId="38" fontId="0" fillId="0" borderId="0" xfId="0" applyNumberFormat="1"/>
    <xf numFmtId="38" fontId="0" fillId="0" borderId="1" xfId="0" applyNumberFormat="1" applyBorder="1"/>
    <xf numFmtId="38" fontId="0" fillId="0" borderId="3" xfId="0" applyNumberFormat="1" applyBorder="1"/>
    <xf numFmtId="38" fontId="0" fillId="0" borderId="0" xfId="0" applyNumberFormat="1" applyAlignment="1">
      <alignment horizontal="fill"/>
    </xf>
    <xf numFmtId="38" fontId="0" fillId="0" borderId="2" xfId="0" applyNumberFormat="1" applyBorder="1"/>
    <xf numFmtId="3" fontId="8" fillId="0" borderId="0" xfId="0" applyNumberFormat="1" applyFont="1"/>
    <xf numFmtId="7" fontId="6" fillId="0" borderId="0" xfId="0" applyNumberFormat="1" applyFont="1"/>
    <xf numFmtId="7" fontId="8" fillId="0" borderId="0" xfId="0" applyNumberFormat="1" applyFont="1" applyAlignment="1">
      <alignment horizontal="left"/>
    </xf>
    <xf numFmtId="38" fontId="0" fillId="0" borderId="4" xfId="0" applyNumberFormat="1" applyBorder="1"/>
    <xf numFmtId="164" fontId="6" fillId="0" borderId="1" xfId="0" quotePrefix="1" applyFont="1" applyBorder="1" applyAlignment="1">
      <alignment horizontal="center"/>
    </xf>
    <xf numFmtId="10" fontId="0" fillId="0" borderId="2" xfId="0" applyNumberFormat="1" applyBorder="1"/>
    <xf numFmtId="164" fontId="6" fillId="0" borderId="0" xfId="0" quotePrefix="1" applyFont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38" fontId="8" fillId="0" borderId="2" xfId="0" applyNumberFormat="1" applyFont="1" applyBorder="1" applyAlignment="1">
      <alignment horizontal="center"/>
    </xf>
    <xf numFmtId="10" fontId="8" fillId="0" borderId="2" xfId="0" quotePrefix="1" applyNumberFormat="1" applyFont="1" applyBorder="1" applyAlignment="1">
      <alignment horizontal="center"/>
    </xf>
    <xf numFmtId="164" fontId="8" fillId="0" borderId="0" xfId="0" applyFont="1"/>
    <xf numFmtId="165" fontId="0" fillId="0" borderId="4" xfId="0" applyNumberFormat="1" applyBorder="1"/>
    <xf numFmtId="40" fontId="0" fillId="0" borderId="4" xfId="0" applyNumberFormat="1" applyBorder="1"/>
    <xf numFmtId="164" fontId="9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68" fontId="0" fillId="0" borderId="0" xfId="0" applyNumberFormat="1"/>
    <xf numFmtId="38" fontId="8" fillId="0" borderId="0" xfId="0" applyNumberFormat="1" applyFont="1"/>
    <xf numFmtId="2" fontId="8" fillId="0" borderId="0" xfId="0" applyNumberFormat="1" applyFont="1"/>
    <xf numFmtId="38" fontId="0" fillId="2" borderId="0" xfId="0" applyNumberFormat="1" applyFill="1"/>
    <xf numFmtId="38" fontId="6" fillId="0" borderId="0" xfId="0" applyNumberFormat="1" applyFont="1" applyAlignment="1">
      <alignment horizontal="center"/>
    </xf>
    <xf numFmtId="165" fontId="6" fillId="0" borderId="0" xfId="0" applyNumberFormat="1" applyFont="1"/>
    <xf numFmtId="165" fontId="6" fillId="0" borderId="0" xfId="0" applyNumberFormat="1" applyFont="1" applyAlignment="1">
      <alignment horizontal="center"/>
    </xf>
    <xf numFmtId="10" fontId="6" fillId="0" borderId="0" xfId="0" applyNumberFormat="1" applyFont="1"/>
    <xf numFmtId="6" fontId="6" fillId="0" borderId="0" xfId="0" applyNumberFormat="1" applyFont="1"/>
    <xf numFmtId="6" fontId="6" fillId="0" borderId="0" xfId="0" applyNumberFormat="1" applyFont="1" applyAlignment="1">
      <alignment horizontal="center"/>
    </xf>
    <xf numFmtId="168" fontId="6" fillId="0" borderId="1" xfId="0" applyNumberFormat="1" applyFont="1" applyBorder="1" applyAlignment="1">
      <alignment horizontal="center"/>
    </xf>
    <xf numFmtId="40" fontId="11" fillId="0" borderId="0" xfId="0" applyNumberFormat="1" applyFont="1" applyAlignment="1">
      <alignment horizontal="left"/>
    </xf>
    <xf numFmtId="164" fontId="9" fillId="0" borderId="0" xfId="0" applyFont="1"/>
    <xf numFmtId="38" fontId="6" fillId="0" borderId="2" xfId="0" applyNumberFormat="1" applyFont="1" applyBorder="1"/>
    <xf numFmtId="2" fontId="6" fillId="0" borderId="0" xfId="0" applyNumberFormat="1" applyFont="1" applyAlignment="1">
      <alignment horizontal="center"/>
    </xf>
    <xf numFmtId="38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0" fontId="6" fillId="0" borderId="2" xfId="0" applyNumberFormat="1" applyFont="1" applyBorder="1"/>
    <xf numFmtId="164" fontId="6" fillId="2" borderId="0" xfId="0" applyFont="1" applyFill="1" applyAlignment="1">
      <alignment horizontal="center"/>
    </xf>
    <xf numFmtId="164" fontId="6" fillId="2" borderId="1" xfId="0" applyFont="1" applyFill="1" applyBorder="1" applyAlignment="1">
      <alignment horizontal="center"/>
    </xf>
    <xf numFmtId="164" fontId="12" fillId="0" borderId="0" xfId="0" applyFont="1"/>
    <xf numFmtId="164" fontId="13" fillId="0" borderId="0" xfId="0" applyFont="1" applyAlignment="1">
      <alignment horizontal="center"/>
    </xf>
    <xf numFmtId="38" fontId="8" fillId="2" borderId="0" xfId="0" applyNumberFormat="1" applyFont="1" applyFill="1"/>
    <xf numFmtId="3" fontId="9" fillId="0" borderId="0" xfId="0" applyNumberFormat="1" applyFont="1" applyAlignment="1">
      <alignment horizontal="center"/>
    </xf>
    <xf numFmtId="164" fontId="14" fillId="0" borderId="0" xfId="0" applyFont="1" applyAlignment="1">
      <alignment horizontal="center"/>
    </xf>
    <xf numFmtId="164" fontId="14" fillId="0" borderId="0" xfId="0" applyFont="1"/>
    <xf numFmtId="3" fontId="15" fillId="0" borderId="0" xfId="0" applyNumberFormat="1" applyFont="1"/>
    <xf numFmtId="10" fontId="14" fillId="2" borderId="0" xfId="0" applyNumberFormat="1" applyFont="1" applyFill="1"/>
    <xf numFmtId="164" fontId="10" fillId="0" borderId="0" xfId="0" applyFont="1" applyAlignment="1">
      <alignment horizontal="center"/>
    </xf>
    <xf numFmtId="164" fontId="0" fillId="0" borderId="0" xfId="0" quotePrefix="1"/>
    <xf numFmtId="164" fontId="6" fillId="0" borderId="0" xfId="0" quotePrefix="1" applyFont="1"/>
    <xf numFmtId="2" fontId="0" fillId="0" borderId="0" xfId="0" applyNumberFormat="1"/>
    <xf numFmtId="0" fontId="18" fillId="0" borderId="0" xfId="1" applyFont="1"/>
    <xf numFmtId="0" fontId="18" fillId="0" borderId="0" xfId="1" applyFont="1" applyAlignment="1">
      <alignment horizontal="center"/>
    </xf>
    <xf numFmtId="0" fontId="18" fillId="0" borderId="0" xfId="1" applyFont="1" applyAlignment="1">
      <alignment horizontal="left"/>
    </xf>
    <xf numFmtId="6" fontId="18" fillId="0" borderId="0" xfId="1" applyNumberFormat="1" applyFont="1" applyAlignment="1">
      <alignment horizontal="center"/>
    </xf>
    <xf numFmtId="0" fontId="17" fillId="0" borderId="14" xfId="1" applyFont="1" applyBorder="1" applyAlignment="1">
      <alignment horizontal="left"/>
    </xf>
    <xf numFmtId="6" fontId="17" fillId="0" borderId="13" xfId="1" applyNumberFormat="1" applyFont="1" applyBorder="1" applyAlignment="1">
      <alignment horizontal="left"/>
    </xf>
    <xf numFmtId="0" fontId="17" fillId="0" borderId="14" xfId="1" applyFont="1" applyBorder="1" applyAlignment="1">
      <alignment horizontal="center"/>
    </xf>
    <xf numFmtId="0" fontId="17" fillId="0" borderId="13" xfId="1" applyFont="1" applyBorder="1" applyAlignment="1">
      <alignment horizontal="left"/>
    </xf>
    <xf numFmtId="0" fontId="18" fillId="0" borderId="11" xfId="1" applyFont="1" applyBorder="1" applyAlignment="1">
      <alignment horizontal="center"/>
    </xf>
    <xf numFmtId="0" fontId="17" fillId="0" borderId="10" xfId="1" applyFont="1" applyBorder="1" applyAlignment="1">
      <alignment horizontal="left"/>
    </xf>
    <xf numFmtId="0" fontId="18" fillId="0" borderId="9" xfId="1" applyFont="1" applyBorder="1" applyAlignment="1">
      <alignment horizontal="center"/>
    </xf>
    <xf numFmtId="0" fontId="18" fillId="0" borderId="5" xfId="1" applyFont="1" applyBorder="1" applyAlignment="1">
      <alignment horizontal="left"/>
    </xf>
    <xf numFmtId="0" fontId="18" fillId="0" borderId="8" xfId="1" applyFont="1" applyBorder="1" applyAlignment="1">
      <alignment horizontal="left"/>
    </xf>
    <xf numFmtId="0" fontId="18" fillId="0" borderId="7" xfId="1" applyFont="1" applyBorder="1" applyAlignment="1">
      <alignment horizontal="center"/>
    </xf>
    <xf numFmtId="0" fontId="18" fillId="0" borderId="6" xfId="1" applyFont="1" applyBorder="1"/>
    <xf numFmtId="0" fontId="18" fillId="0" borderId="6" xfId="1" applyFont="1" applyBorder="1" applyAlignment="1">
      <alignment horizontal="center"/>
    </xf>
    <xf numFmtId="4" fontId="18" fillId="0" borderId="0" xfId="1" applyNumberFormat="1" applyFont="1" applyAlignment="1">
      <alignment horizontal="center"/>
    </xf>
    <xf numFmtId="9" fontId="18" fillId="0" borderId="0" xfId="3" applyFont="1" applyBorder="1" applyAlignment="1">
      <alignment horizontal="center"/>
    </xf>
    <xf numFmtId="0" fontId="17" fillId="0" borderId="6" xfId="1" applyFont="1" applyBorder="1" applyAlignment="1">
      <alignment horizontal="left"/>
    </xf>
    <xf numFmtId="6" fontId="18" fillId="0" borderId="6" xfId="1" applyNumberFormat="1" applyFont="1" applyBorder="1" applyAlignment="1">
      <alignment horizontal="center"/>
    </xf>
    <xf numFmtId="0" fontId="17" fillId="0" borderId="0" xfId="1" applyFont="1" applyAlignment="1">
      <alignment horizontal="left"/>
    </xf>
    <xf numFmtId="0" fontId="18" fillId="0" borderId="15" xfId="1" applyFont="1" applyBorder="1" applyAlignment="1">
      <alignment horizontal="center"/>
    </xf>
    <xf numFmtId="0" fontId="18" fillId="0" borderId="14" xfId="1" applyFont="1" applyBorder="1" applyAlignment="1">
      <alignment horizontal="left"/>
    </xf>
    <xf numFmtId="0" fontId="17" fillId="3" borderId="13" xfId="1" applyFont="1" applyFill="1" applyBorder="1" applyAlignment="1">
      <alignment horizontal="left"/>
    </xf>
    <xf numFmtId="169" fontId="0" fillId="0" borderId="0" xfId="4" applyNumberFormat="1" applyFont="1"/>
    <xf numFmtId="0" fontId="18" fillId="0" borderId="0" xfId="5" applyAlignment="1">
      <alignment horizontal="center"/>
    </xf>
    <xf numFmtId="44" fontId="18" fillId="0" borderId="0" xfId="2" applyFont="1" applyBorder="1" applyAlignment="1">
      <alignment horizontal="center"/>
    </xf>
    <xf numFmtId="38" fontId="8" fillId="3" borderId="0" xfId="0" applyNumberFormat="1" applyFont="1" applyFill="1"/>
    <xf numFmtId="38" fontId="0" fillId="5" borderId="0" xfId="0" applyNumberFormat="1" applyFill="1"/>
    <xf numFmtId="38" fontId="0" fillId="5" borderId="4" xfId="0" applyNumberFormat="1" applyFill="1" applyBorder="1"/>
    <xf numFmtId="43" fontId="0" fillId="0" borderId="0" xfId="6" applyFont="1"/>
    <xf numFmtId="44" fontId="18" fillId="4" borderId="7" xfId="2" applyFont="1" applyFill="1" applyBorder="1" applyAlignment="1">
      <alignment horizontal="center"/>
    </xf>
    <xf numFmtId="44" fontId="17" fillId="0" borderId="12" xfId="2" applyFont="1" applyFill="1" applyBorder="1" applyAlignment="1">
      <alignment horizontal="center"/>
    </xf>
    <xf numFmtId="4" fontId="17" fillId="0" borderId="15" xfId="1" applyNumberFormat="1" applyFont="1" applyBorder="1" applyAlignment="1">
      <alignment horizontal="center"/>
    </xf>
    <xf numFmtId="44" fontId="17" fillId="0" borderId="15" xfId="1" applyNumberFormat="1" applyFont="1" applyBorder="1" applyAlignment="1">
      <alignment horizontal="center"/>
    </xf>
    <xf numFmtId="0" fontId="21" fillId="0" borderId="7" xfId="1" applyFont="1" applyBorder="1" applyAlignment="1">
      <alignment horizontal="center"/>
    </xf>
    <xf numFmtId="0" fontId="18" fillId="0" borderId="7" xfId="1" applyFont="1" applyBorder="1" applyAlignment="1">
      <alignment horizontal="left"/>
    </xf>
    <xf numFmtId="171" fontId="8" fillId="0" borderId="0" xfId="6" applyNumberFormat="1" applyFont="1" applyFill="1" applyBorder="1"/>
    <xf numFmtId="171" fontId="0" fillId="0" borderId="0" xfId="6" applyNumberFormat="1" applyFont="1" applyFill="1"/>
    <xf numFmtId="164" fontId="0" fillId="0" borderId="0" xfId="0" applyAlignment="1">
      <alignment horizontal="left" indent="1"/>
    </xf>
    <xf numFmtId="2" fontId="8" fillId="3" borderId="0" xfId="0" applyNumberFormat="1" applyFont="1" applyFill="1"/>
    <xf numFmtId="3" fontId="14" fillId="0" borderId="0" xfId="0" applyNumberFormat="1" applyFont="1"/>
    <xf numFmtId="43" fontId="0" fillId="0" borderId="0" xfId="6" applyFont="1" applyFill="1" applyBorder="1"/>
    <xf numFmtId="44" fontId="17" fillId="0" borderId="7" xfId="2" applyFont="1" applyFill="1" applyBorder="1" applyAlignment="1">
      <alignment horizontal="center"/>
    </xf>
    <xf numFmtId="44" fontId="17" fillId="4" borderId="5" xfId="2" applyFont="1" applyFill="1" applyBorder="1" applyAlignment="1">
      <alignment horizontal="center"/>
    </xf>
    <xf numFmtId="44" fontId="17" fillId="0" borderId="0" xfId="2" applyFont="1" applyFill="1" applyBorder="1" applyAlignment="1">
      <alignment horizontal="center"/>
    </xf>
    <xf numFmtId="0" fontId="18" fillId="6" borderId="0" xfId="6" applyNumberFormat="1" applyFont="1" applyFill="1" applyBorder="1" applyAlignment="1">
      <alignment horizontal="center"/>
    </xf>
    <xf numFmtId="0" fontId="18" fillId="6" borderId="0" xfId="5" applyFill="1" applyAlignment="1">
      <alignment horizontal="center"/>
    </xf>
    <xf numFmtId="9" fontId="18" fillId="6" borderId="0" xfId="3" applyFont="1" applyFill="1" applyBorder="1" applyAlignment="1">
      <alignment horizontal="center"/>
    </xf>
    <xf numFmtId="2" fontId="17" fillId="6" borderId="0" xfId="5" applyNumberFormat="1" applyFont="1" applyFill="1" applyAlignment="1">
      <alignment horizontal="center"/>
    </xf>
    <xf numFmtId="9" fontId="18" fillId="6" borderId="0" xfId="5" applyNumberFormat="1" applyFill="1" applyAlignment="1">
      <alignment horizontal="center"/>
    </xf>
    <xf numFmtId="44" fontId="17" fillId="4" borderId="0" xfId="2" applyFont="1" applyFill="1" applyBorder="1" applyAlignment="1">
      <alignment horizontal="center"/>
    </xf>
    <xf numFmtId="44" fontId="18" fillId="7" borderId="0" xfId="5" applyNumberFormat="1" applyFill="1" applyAlignment="1">
      <alignment horizontal="center"/>
    </xf>
    <xf numFmtId="0" fontId="18" fillId="8" borderId="0" xfId="5" applyFill="1" applyAlignment="1">
      <alignment horizontal="center"/>
    </xf>
    <xf numFmtId="4" fontId="18" fillId="8" borderId="0" xfId="5" applyNumberFormat="1" applyFill="1" applyAlignment="1">
      <alignment horizontal="center"/>
    </xf>
    <xf numFmtId="44" fontId="18" fillId="8" borderId="0" xfId="4" applyFont="1" applyFill="1" applyBorder="1" applyAlignment="1">
      <alignment horizontal="center"/>
    </xf>
    <xf numFmtId="44" fontId="17" fillId="8" borderId="0" xfId="2" applyFont="1" applyFill="1" applyBorder="1" applyAlignment="1">
      <alignment horizontal="center"/>
    </xf>
    <xf numFmtId="0" fontId="17" fillId="8" borderId="0" xfId="0" applyNumberFormat="1" applyFont="1" applyFill="1"/>
    <xf numFmtId="44" fontId="18" fillId="8" borderId="0" xfId="5" applyNumberFormat="1" applyFill="1" applyAlignment="1">
      <alignment horizontal="center"/>
    </xf>
    <xf numFmtId="4" fontId="17" fillId="8" borderId="0" xfId="5" applyNumberFormat="1" applyFont="1" applyFill="1" applyAlignment="1">
      <alignment horizontal="center"/>
    </xf>
    <xf numFmtId="44" fontId="17" fillId="8" borderId="0" xfId="5" applyNumberFormat="1" applyFont="1" applyFill="1" applyAlignment="1">
      <alignment horizontal="center"/>
    </xf>
    <xf numFmtId="6" fontId="17" fillId="8" borderId="0" xfId="5" applyNumberFormat="1" applyFont="1" applyFill="1" applyAlignment="1">
      <alignment horizontal="left"/>
    </xf>
    <xf numFmtId="0" fontId="17" fillId="8" borderId="20" xfId="5" applyFont="1" applyFill="1" applyBorder="1" applyAlignment="1">
      <alignment horizontal="left"/>
    </xf>
    <xf numFmtId="0" fontId="17" fillId="8" borderId="21" xfId="5" applyFont="1" applyFill="1" applyBorder="1" applyAlignment="1">
      <alignment horizontal="left"/>
    </xf>
    <xf numFmtId="0" fontId="26" fillId="9" borderId="19" xfId="5" applyFont="1" applyFill="1" applyBorder="1" applyAlignment="1">
      <alignment horizontal="left"/>
    </xf>
    <xf numFmtId="0" fontId="17" fillId="8" borderId="0" xfId="5" applyFont="1" applyFill="1" applyAlignment="1">
      <alignment horizontal="left"/>
    </xf>
    <xf numFmtId="0" fontId="17" fillId="8" borderId="8" xfId="5" applyFont="1" applyFill="1" applyBorder="1" applyAlignment="1">
      <alignment horizontal="left"/>
    </xf>
    <xf numFmtId="0" fontId="18" fillId="6" borderId="6" xfId="6" applyNumberFormat="1" applyFont="1" applyFill="1" applyBorder="1" applyAlignment="1">
      <alignment horizontal="center"/>
    </xf>
    <xf numFmtId="0" fontId="18" fillId="6" borderId="7" xfId="6" applyNumberFormat="1" applyFont="1" applyFill="1" applyBorder="1" applyAlignment="1">
      <alignment horizontal="center"/>
    </xf>
    <xf numFmtId="0" fontId="18" fillId="6" borderId="6" xfId="5" applyFill="1" applyBorder="1" applyAlignment="1">
      <alignment horizontal="center"/>
    </xf>
    <xf numFmtId="0" fontId="18" fillId="6" borderId="7" xfId="5" applyFill="1" applyBorder="1" applyAlignment="1">
      <alignment horizontal="center"/>
    </xf>
    <xf numFmtId="0" fontId="18" fillId="8" borderId="6" xfId="5" applyFill="1" applyBorder="1" applyAlignment="1">
      <alignment horizontal="center"/>
    </xf>
    <xf numFmtId="0" fontId="18" fillId="8" borderId="7" xfId="5" applyFill="1" applyBorder="1" applyAlignment="1">
      <alignment horizontal="center"/>
    </xf>
    <xf numFmtId="9" fontId="18" fillId="6" borderId="6" xfId="3" applyFont="1" applyFill="1" applyBorder="1" applyAlignment="1">
      <alignment horizontal="center"/>
    </xf>
    <xf numFmtId="9" fontId="18" fillId="6" borderId="7" xfId="3" applyFont="1" applyFill="1" applyBorder="1" applyAlignment="1">
      <alignment horizontal="center"/>
    </xf>
    <xf numFmtId="4" fontId="18" fillId="8" borderId="6" xfId="5" applyNumberFormat="1" applyFill="1" applyBorder="1" applyAlignment="1">
      <alignment horizontal="center"/>
    </xf>
    <xf numFmtId="4" fontId="18" fillId="8" borderId="7" xfId="5" applyNumberFormat="1" applyFill="1" applyBorder="1" applyAlignment="1">
      <alignment horizontal="center"/>
    </xf>
    <xf numFmtId="44" fontId="18" fillId="8" borderId="6" xfId="4" applyFont="1" applyFill="1" applyBorder="1" applyAlignment="1">
      <alignment horizontal="center"/>
    </xf>
    <xf numFmtId="44" fontId="18" fillId="8" borderId="7" xfId="4" applyFont="1" applyFill="1" applyBorder="1" applyAlignment="1">
      <alignment horizontal="center"/>
    </xf>
    <xf numFmtId="2" fontId="17" fillId="6" borderId="6" xfId="5" applyNumberFormat="1" applyFont="1" applyFill="1" applyBorder="1" applyAlignment="1">
      <alignment horizontal="center"/>
    </xf>
    <xf numFmtId="2" fontId="17" fillId="6" borderId="7" xfId="5" applyNumberFormat="1" applyFont="1" applyFill="1" applyBorder="1" applyAlignment="1">
      <alignment horizontal="center"/>
    </xf>
    <xf numFmtId="44" fontId="17" fillId="8" borderId="6" xfId="2" applyFont="1" applyFill="1" applyBorder="1" applyAlignment="1">
      <alignment horizontal="center"/>
    </xf>
    <xf numFmtId="44" fontId="17" fillId="8" borderId="7" xfId="2" applyFont="1" applyFill="1" applyBorder="1" applyAlignment="1">
      <alignment horizontal="center"/>
    </xf>
    <xf numFmtId="44" fontId="17" fillId="4" borderId="8" xfId="2" applyFont="1" applyFill="1" applyBorder="1" applyAlignment="1">
      <alignment horizontal="center"/>
    </xf>
    <xf numFmtId="44" fontId="17" fillId="4" borderId="9" xfId="2" applyFont="1" applyFill="1" applyBorder="1" applyAlignment="1">
      <alignment horizontal="center"/>
    </xf>
    <xf numFmtId="9" fontId="18" fillId="6" borderId="6" xfId="5" applyNumberFormat="1" applyFill="1" applyBorder="1" applyAlignment="1">
      <alignment horizontal="center"/>
    </xf>
    <xf numFmtId="9" fontId="18" fillId="6" borderId="7" xfId="5" applyNumberFormat="1" applyFill="1" applyBorder="1" applyAlignment="1">
      <alignment horizontal="center"/>
    </xf>
    <xf numFmtId="44" fontId="17" fillId="0" borderId="6" xfId="2" applyFont="1" applyFill="1" applyBorder="1" applyAlignment="1">
      <alignment horizontal="center"/>
    </xf>
    <xf numFmtId="0" fontId="17" fillId="8" borderId="6" xfId="5" applyFont="1" applyFill="1" applyBorder="1" applyAlignment="1">
      <alignment horizontal="left"/>
    </xf>
    <xf numFmtId="0" fontId="26" fillId="8" borderId="17" xfId="5" applyFont="1" applyFill="1" applyBorder="1" applyAlignment="1">
      <alignment horizontal="left"/>
    </xf>
    <xf numFmtId="38" fontId="6" fillId="0" borderId="3" xfId="0" applyNumberFormat="1" applyFont="1" applyBorder="1"/>
    <xf numFmtId="2" fontId="6" fillId="0" borderId="0" xfId="0" applyNumberFormat="1" applyFont="1"/>
    <xf numFmtId="164" fontId="6" fillId="0" borderId="0" xfId="0" applyFont="1" applyAlignment="1">
      <alignment horizontal="left" indent="1"/>
    </xf>
    <xf numFmtId="38" fontId="6" fillId="0" borderId="0" xfId="0" applyNumberFormat="1" applyFont="1"/>
    <xf numFmtId="164" fontId="6" fillId="0" borderId="0" xfId="0" applyFont="1" applyAlignment="1">
      <alignment horizontal="left" indent="2"/>
    </xf>
    <xf numFmtId="164" fontId="24" fillId="0" borderId="0" xfId="0" applyFont="1" applyAlignment="1">
      <alignment horizontal="center"/>
    </xf>
    <xf numFmtId="38" fontId="9" fillId="0" borderId="0" xfId="0" applyNumberFormat="1" applyFont="1"/>
    <xf numFmtId="43" fontId="9" fillId="0" borderId="0" xfId="6" applyFont="1"/>
    <xf numFmtId="44" fontId="9" fillId="0" borderId="0" xfId="4" applyFont="1"/>
    <xf numFmtId="171" fontId="9" fillId="0" borderId="0" xfId="6" applyNumberFormat="1" applyFont="1" applyFill="1"/>
    <xf numFmtId="7" fontId="9" fillId="0" borderId="0" xfId="0" applyNumberFormat="1" applyFont="1"/>
    <xf numFmtId="7" fontId="24" fillId="0" borderId="0" xfId="0" applyNumberFormat="1" applyFont="1" applyAlignment="1">
      <alignment horizontal="center"/>
    </xf>
    <xf numFmtId="7" fontId="24" fillId="0" borderId="1" xfId="0" applyNumberFormat="1" applyFont="1" applyBorder="1" applyAlignment="1">
      <alignment horizontal="center"/>
    </xf>
    <xf numFmtId="7" fontId="24" fillId="0" borderId="0" xfId="0" applyNumberFormat="1" applyFont="1" applyAlignment="1">
      <alignment horizontal="left"/>
    </xf>
    <xf numFmtId="40" fontId="9" fillId="0" borderId="0" xfId="0" applyNumberFormat="1" applyFont="1"/>
    <xf numFmtId="7" fontId="9" fillId="0" borderId="0" xfId="0" applyNumberFormat="1" applyFont="1" applyAlignment="1">
      <alignment horizontal="left"/>
    </xf>
    <xf numFmtId="164" fontId="9" fillId="0" borderId="0" xfId="0" applyFont="1" applyAlignment="1">
      <alignment horizontal="left"/>
    </xf>
    <xf numFmtId="40" fontId="9" fillId="0" borderId="3" xfId="0" applyNumberFormat="1" applyFont="1" applyBorder="1"/>
    <xf numFmtId="38" fontId="9" fillId="2" borderId="3" xfId="0" applyNumberFormat="1" applyFont="1" applyFill="1" applyBorder="1"/>
    <xf numFmtId="167" fontId="9" fillId="3" borderId="0" xfId="0" applyNumberFormat="1" applyFont="1" applyFill="1" applyAlignment="1">
      <alignment horizontal="center"/>
    </xf>
    <xf numFmtId="38" fontId="9" fillId="0" borderId="0" xfId="0" applyNumberFormat="1" applyFont="1" applyAlignment="1">
      <alignment horizontal="fill"/>
    </xf>
    <xf numFmtId="38" fontId="9" fillId="0" borderId="3" xfId="0" applyNumberFormat="1" applyFont="1" applyBorder="1"/>
    <xf numFmtId="40" fontId="24" fillId="0" borderId="0" xfId="0" applyNumberFormat="1" applyFont="1" applyAlignment="1">
      <alignment horizontal="center"/>
    </xf>
    <xf numFmtId="40" fontId="24" fillId="0" borderId="1" xfId="0" applyNumberFormat="1" applyFont="1" applyBorder="1" applyAlignment="1">
      <alignment horizontal="center"/>
    </xf>
    <xf numFmtId="10" fontId="24" fillId="0" borderId="0" xfId="0" applyNumberFormat="1" applyFont="1"/>
    <xf numFmtId="38" fontId="24" fillId="0" borderId="0" xfId="0" applyNumberFormat="1" applyFont="1"/>
    <xf numFmtId="40" fontId="9" fillId="0" borderId="0" xfId="0" applyNumberFormat="1" applyFont="1" applyAlignment="1">
      <alignment horizontal="fill"/>
    </xf>
    <xf numFmtId="38" fontId="24" fillId="2" borderId="2" xfId="0" applyNumberFormat="1" applyFont="1" applyFill="1" applyBorder="1"/>
    <xf numFmtId="0" fontId="18" fillId="8" borderId="0" xfId="5" applyFill="1" applyAlignment="1">
      <alignment horizontal="left"/>
    </xf>
    <xf numFmtId="14" fontId="24" fillId="0" borderId="1" xfId="0" applyNumberFormat="1" applyFont="1" applyBorder="1" applyAlignment="1">
      <alignment horizontal="center"/>
    </xf>
    <xf numFmtId="171" fontId="0" fillId="0" borderId="0" xfId="6" applyNumberFormat="1" applyFont="1" applyAlignment="1" applyProtection="1">
      <alignment horizontal="left"/>
    </xf>
    <xf numFmtId="171" fontId="6" fillId="0" borderId="2" xfId="6" applyNumberFormat="1" applyFont="1" applyBorder="1"/>
    <xf numFmtId="10" fontId="9" fillId="3" borderId="0" xfId="7" applyNumberFormat="1" applyFont="1" applyFill="1" applyAlignment="1">
      <alignment horizontal="center"/>
    </xf>
    <xf numFmtId="14" fontId="6" fillId="0" borderId="1" xfId="0" quotePrefix="1" applyNumberFormat="1" applyFont="1" applyBorder="1" applyAlignment="1">
      <alignment horizontal="center"/>
    </xf>
    <xf numFmtId="10" fontId="9" fillId="0" borderId="0" xfId="7" applyNumberFormat="1" applyFont="1"/>
    <xf numFmtId="171" fontId="8" fillId="0" borderId="0" xfId="6" applyNumberFormat="1" applyFont="1" applyFill="1"/>
    <xf numFmtId="43" fontId="8" fillId="0" borderId="0" xfId="6" applyFont="1" applyFill="1" applyBorder="1"/>
    <xf numFmtId="9" fontId="8" fillId="0" borderId="0" xfId="7" applyFont="1" applyFill="1" applyBorder="1"/>
    <xf numFmtId="7" fontId="0" fillId="0" borderId="0" xfId="0" applyNumberFormat="1" applyAlignment="1">
      <alignment horizontal="left" indent="1"/>
    </xf>
    <xf numFmtId="7" fontId="0" fillId="0" borderId="0" xfId="0" applyNumberFormat="1" applyAlignment="1">
      <alignment horizontal="left" indent="2"/>
    </xf>
    <xf numFmtId="164" fontId="0" fillId="0" borderId="0" xfId="0" applyAlignment="1">
      <alignment horizontal="left" indent="2"/>
    </xf>
    <xf numFmtId="171" fontId="18" fillId="8" borderId="0" xfId="6" applyNumberFormat="1" applyFont="1" applyFill="1" applyAlignment="1">
      <alignment horizontal="center"/>
    </xf>
    <xf numFmtId="171" fontId="14" fillId="0" borderId="0" xfId="6" applyNumberFormat="1" applyFont="1" applyFill="1" applyBorder="1"/>
    <xf numFmtId="164" fontId="28" fillId="0" borderId="1" xfId="0" quotePrefix="1" applyFont="1" applyBorder="1" applyAlignment="1">
      <alignment horizontal="center"/>
    </xf>
    <xf numFmtId="164" fontId="29" fillId="0" borderId="0" xfId="0" applyFont="1"/>
    <xf numFmtId="164" fontId="28" fillId="0" borderId="0" xfId="0" applyFont="1" applyAlignment="1">
      <alignment horizontal="center"/>
    </xf>
    <xf numFmtId="164" fontId="29" fillId="0" borderId="0" xfId="0" applyFont="1" applyAlignment="1">
      <alignment horizontal="right"/>
    </xf>
    <xf numFmtId="164" fontId="0" fillId="0" borderId="0" xfId="0" applyAlignment="1">
      <alignment horizontal="right"/>
    </xf>
    <xf numFmtId="172" fontId="29" fillId="0" borderId="0" xfId="0" applyNumberFormat="1" applyFont="1" applyAlignment="1">
      <alignment horizontal="right"/>
    </xf>
    <xf numFmtId="10" fontId="29" fillId="0" borderId="0" xfId="0" applyNumberFormat="1" applyFont="1" applyAlignment="1">
      <alignment horizontal="center"/>
    </xf>
    <xf numFmtId="172" fontId="29" fillId="0" borderId="0" xfId="0" applyNumberFormat="1" applyFont="1" applyAlignment="1">
      <alignment horizontal="center"/>
    </xf>
    <xf numFmtId="171" fontId="29" fillId="0" borderId="0" xfId="6" applyNumberFormat="1" applyFont="1"/>
    <xf numFmtId="164" fontId="28" fillId="0" borderId="1" xfId="0" applyFont="1" applyBorder="1" applyAlignment="1">
      <alignment horizontal="left"/>
    </xf>
    <xf numFmtId="171" fontId="29" fillId="0" borderId="0" xfId="6" applyNumberFormat="1" applyFont="1" applyFill="1" applyAlignment="1">
      <alignment horizontal="right"/>
    </xf>
    <xf numFmtId="171" fontId="29" fillId="0" borderId="1" xfId="6" applyNumberFormat="1" applyFont="1" applyFill="1" applyBorder="1" applyAlignment="1">
      <alignment horizontal="right"/>
    </xf>
    <xf numFmtId="171" fontId="29" fillId="0" borderId="1" xfId="6" applyNumberFormat="1" applyFont="1" applyFill="1" applyBorder="1" applyAlignment="1">
      <alignment horizontal="center"/>
    </xf>
    <xf numFmtId="9" fontId="9" fillId="0" borderId="0" xfId="7" applyFont="1"/>
    <xf numFmtId="164" fontId="30" fillId="0" borderId="0" xfId="0" applyFont="1"/>
    <xf numFmtId="38" fontId="29" fillId="0" borderId="0" xfId="6" applyNumberFormat="1" applyFont="1"/>
    <xf numFmtId="171" fontId="29" fillId="0" borderId="0" xfId="6" applyNumberFormat="1" applyFont="1" applyFill="1" applyBorder="1" applyAlignment="1">
      <alignment horizontal="center"/>
    </xf>
    <xf numFmtId="164" fontId="28" fillId="0" borderId="0" xfId="0" applyFont="1"/>
    <xf numFmtId="164" fontId="29" fillId="0" borderId="0" xfId="0" applyFont="1" applyAlignment="1">
      <alignment horizontal="left" indent="1"/>
    </xf>
    <xf numFmtId="164" fontId="28" fillId="0" borderId="0" xfId="0" applyFont="1" applyAlignment="1">
      <alignment horizontal="left"/>
    </xf>
    <xf numFmtId="0" fontId="18" fillId="8" borderId="0" xfId="1" applyFont="1" applyFill="1" applyAlignment="1">
      <alignment horizontal="center"/>
    </xf>
    <xf numFmtId="6" fontId="23" fillId="8" borderId="0" xfId="5" applyNumberFormat="1" applyFont="1" applyFill="1" applyAlignment="1">
      <alignment horizontal="left"/>
    </xf>
    <xf numFmtId="0" fontId="23" fillId="8" borderId="6" xfId="5" applyFont="1" applyFill="1" applyBorder="1"/>
    <xf numFmtId="0" fontId="23" fillId="8" borderId="0" xfId="5" applyFont="1" applyFill="1"/>
    <xf numFmtId="0" fontId="21" fillId="0" borderId="0" xfId="5" applyFont="1" applyAlignment="1">
      <alignment horizontal="center"/>
    </xf>
    <xf numFmtId="0" fontId="21" fillId="0" borderId="0" xfId="5" applyFont="1" applyAlignment="1">
      <alignment horizontal="left"/>
    </xf>
    <xf numFmtId="0" fontId="21" fillId="0" borderId="0" xfId="1" applyFont="1"/>
    <xf numFmtId="6" fontId="21" fillId="0" borderId="0" xfId="5" applyNumberFormat="1" applyFont="1"/>
    <xf numFmtId="6" fontId="31" fillId="8" borderId="0" xfId="5" applyNumberFormat="1" applyFont="1" applyFill="1" applyAlignment="1">
      <alignment horizontal="left"/>
    </xf>
    <xf numFmtId="6" fontId="31" fillId="8" borderId="6" xfId="5" applyNumberFormat="1" applyFont="1" applyFill="1" applyBorder="1" applyAlignment="1">
      <alignment horizontal="left"/>
    </xf>
    <xf numFmtId="0" fontId="31" fillId="8" borderId="6" xfId="5" applyFont="1" applyFill="1" applyBorder="1"/>
    <xf numFmtId="0" fontId="31" fillId="8" borderId="0" xfId="5" applyFont="1" applyFill="1"/>
    <xf numFmtId="0" fontId="32" fillId="8" borderId="0" xfId="5" applyFont="1" applyFill="1" applyAlignment="1">
      <alignment horizontal="center"/>
    </xf>
    <xf numFmtId="6" fontId="17" fillId="8" borderId="6" xfId="5" applyNumberFormat="1" applyFont="1" applyFill="1" applyBorder="1" applyAlignment="1">
      <alignment horizontal="left"/>
    </xf>
    <xf numFmtId="6" fontId="17" fillId="8" borderId="17" xfId="5" applyNumberFormat="1" applyFont="1" applyFill="1" applyBorder="1" applyAlignment="1">
      <alignment horizontal="left"/>
    </xf>
    <xf numFmtId="9" fontId="18" fillId="0" borderId="0" xfId="7" applyFont="1"/>
    <xf numFmtId="43" fontId="18" fillId="0" borderId="0" xfId="6" applyFont="1"/>
    <xf numFmtId="0" fontId="17" fillId="8" borderId="6" xfId="5" applyFont="1" applyFill="1" applyBorder="1"/>
    <xf numFmtId="0" fontId="17" fillId="8" borderId="0" xfId="5" applyFont="1" applyFill="1"/>
    <xf numFmtId="6" fontId="18" fillId="0" borderId="0" xfId="5" applyNumberFormat="1"/>
    <xf numFmtId="0" fontId="18" fillId="0" borderId="0" xfId="5" applyAlignment="1">
      <alignment horizontal="left"/>
    </xf>
    <xf numFmtId="164" fontId="0" fillId="0" borderId="0" xfId="0" applyAlignment="1">
      <alignment horizontal="center"/>
    </xf>
    <xf numFmtId="164" fontId="30" fillId="0" borderId="0" xfId="0" applyFont="1" applyAlignment="1">
      <alignment horizontal="center"/>
    </xf>
    <xf numFmtId="164" fontId="29" fillId="0" borderId="0" xfId="0" applyFont="1" applyAlignment="1">
      <alignment horizontal="center"/>
    </xf>
    <xf numFmtId="10" fontId="29" fillId="0" borderId="0" xfId="7" applyNumberFormat="1" applyFont="1" applyAlignment="1">
      <alignment horizontal="center"/>
    </xf>
    <xf numFmtId="43" fontId="30" fillId="0" borderId="0" xfId="6" applyFont="1"/>
    <xf numFmtId="44" fontId="18" fillId="0" borderId="0" xfId="5" applyNumberFormat="1" applyAlignment="1">
      <alignment horizontal="center"/>
    </xf>
    <xf numFmtId="4" fontId="18" fillId="0" borderId="0" xfId="1" applyNumberFormat="1" applyFont="1"/>
    <xf numFmtId="169" fontId="18" fillId="0" borderId="0" xfId="1" applyNumberFormat="1" applyFont="1"/>
    <xf numFmtId="43" fontId="18" fillId="0" borderId="0" xfId="1" applyNumberFormat="1" applyFont="1"/>
    <xf numFmtId="6" fontId="18" fillId="0" borderId="1" xfId="5" applyNumberFormat="1" applyBorder="1"/>
    <xf numFmtId="44" fontId="18" fillId="12" borderId="0" xfId="5" applyNumberFormat="1" applyFill="1" applyAlignment="1">
      <alignment horizontal="center"/>
    </xf>
    <xf numFmtId="44" fontId="18" fillId="0" borderId="0" xfId="1" applyNumberFormat="1" applyFont="1"/>
    <xf numFmtId="44" fontId="18" fillId="0" borderId="1" xfId="1" applyNumberFormat="1" applyFont="1" applyBorder="1"/>
    <xf numFmtId="38" fontId="34" fillId="0" borderId="0" xfId="0" applyNumberFormat="1" applyFont="1"/>
    <xf numFmtId="38" fontId="0" fillId="3" borderId="2" xfId="0" applyNumberFormat="1" applyFill="1" applyBorder="1"/>
    <xf numFmtId="0" fontId="33" fillId="0" borderId="0" xfId="8" applyFont="1" applyAlignment="1">
      <alignment horizontal="center" vertical="center"/>
    </xf>
    <xf numFmtId="43" fontId="33" fillId="0" borderId="0" xfId="6" applyFont="1" applyAlignment="1">
      <alignment horizontal="center" vertical="center"/>
    </xf>
    <xf numFmtId="43" fontId="33" fillId="0" borderId="0" xfId="9" applyFont="1" applyAlignment="1">
      <alignment horizontal="center" vertical="center"/>
    </xf>
    <xf numFmtId="0" fontId="5" fillId="0" borderId="0" xfId="8"/>
    <xf numFmtId="8" fontId="5" fillId="0" borderId="0" xfId="8" applyNumberFormat="1"/>
    <xf numFmtId="8" fontId="5" fillId="6" borderId="0" xfId="8" applyNumberFormat="1" applyFill="1"/>
    <xf numFmtId="43" fontId="5" fillId="0" borderId="0" xfId="9" applyFont="1"/>
    <xf numFmtId="43" fontId="5" fillId="0" borderId="0" xfId="6" applyFont="1"/>
    <xf numFmtId="8" fontId="5" fillId="0" borderId="1" xfId="8" applyNumberFormat="1" applyBorder="1"/>
    <xf numFmtId="43" fontId="5" fillId="0" borderId="1" xfId="9" applyFont="1" applyBorder="1"/>
    <xf numFmtId="43" fontId="33" fillId="0" borderId="0" xfId="6" applyFont="1"/>
    <xf numFmtId="8" fontId="33" fillId="0" borderId="0" xfId="8" applyNumberFormat="1" applyFont="1"/>
    <xf numFmtId="0" fontId="33" fillId="0" borderId="0" xfId="8" applyFont="1"/>
    <xf numFmtId="43" fontId="33" fillId="0" borderId="0" xfId="9" applyFont="1"/>
    <xf numFmtId="43" fontId="5" fillId="0" borderId="0" xfId="8" applyNumberFormat="1"/>
    <xf numFmtId="0" fontId="5" fillId="0" borderId="0" xfId="8" applyAlignment="1">
      <alignment horizontal="right"/>
    </xf>
    <xf numFmtId="9" fontId="5" fillId="0" borderId="0" xfId="10" applyFont="1"/>
    <xf numFmtId="43" fontId="33" fillId="0" borderId="0" xfId="8" applyNumberFormat="1" applyFont="1"/>
    <xf numFmtId="43" fontId="33" fillId="11" borderId="0" xfId="8" applyNumberFormat="1" applyFont="1" applyFill="1"/>
    <xf numFmtId="164" fontId="36" fillId="0" borderId="0" xfId="0" applyFont="1"/>
    <xf numFmtId="172" fontId="37" fillId="0" borderId="0" xfId="0" applyNumberFormat="1" applyFont="1" applyAlignment="1">
      <alignment horizontal="center"/>
    </xf>
    <xf numFmtId="9" fontId="37" fillId="0" borderId="0" xfId="0" applyNumberFormat="1" applyFont="1" applyAlignment="1">
      <alignment horizontal="center"/>
    </xf>
    <xf numFmtId="164" fontId="37" fillId="0" borderId="0" xfId="0" applyFont="1"/>
    <xf numFmtId="14" fontId="38" fillId="0" borderId="0" xfId="0" applyNumberFormat="1" applyFont="1"/>
    <xf numFmtId="167" fontId="37" fillId="0" borderId="0" xfId="0" applyNumberFormat="1" applyFont="1" applyAlignment="1">
      <alignment horizontal="center"/>
    </xf>
    <xf numFmtId="164" fontId="37" fillId="0" borderId="0" xfId="0" applyFont="1" applyAlignment="1">
      <alignment horizontal="center"/>
    </xf>
    <xf numFmtId="164" fontId="39" fillId="0" borderId="0" xfId="0" applyFont="1"/>
    <xf numFmtId="170" fontId="37" fillId="0" borderId="0" xfId="0" applyNumberFormat="1" applyFont="1" applyAlignment="1">
      <alignment horizontal="center"/>
    </xf>
    <xf numFmtId="171" fontId="37" fillId="0" borderId="0" xfId="6" applyNumberFormat="1" applyFont="1"/>
    <xf numFmtId="172" fontId="37" fillId="11" borderId="0" xfId="0" applyNumberFormat="1" applyFont="1" applyFill="1" applyAlignment="1">
      <alignment horizontal="center"/>
    </xf>
    <xf numFmtId="172" fontId="37" fillId="10" borderId="0" xfId="0" applyNumberFormat="1" applyFont="1" applyFill="1" applyAlignment="1">
      <alignment horizontal="center"/>
    </xf>
    <xf numFmtId="9" fontId="37" fillId="0" borderId="0" xfId="0" applyNumberFormat="1" applyFont="1" applyAlignment="1">
      <alignment horizontal="left"/>
    </xf>
    <xf numFmtId="172" fontId="37" fillId="0" borderId="0" xfId="0" applyNumberFormat="1" applyFont="1" applyAlignment="1">
      <alignment horizontal="left"/>
    </xf>
    <xf numFmtId="172" fontId="37" fillId="3" borderId="0" xfId="0" applyNumberFormat="1" applyFont="1" applyFill="1" applyAlignment="1">
      <alignment horizontal="center"/>
    </xf>
    <xf numFmtId="1" fontId="37" fillId="0" borderId="0" xfId="0" applyNumberFormat="1" applyFont="1" applyAlignment="1">
      <alignment horizontal="center"/>
    </xf>
    <xf numFmtId="172" fontId="39" fillId="0" borderId="0" xfId="0" applyNumberFormat="1" applyFont="1" applyAlignment="1">
      <alignment horizontal="center"/>
    </xf>
    <xf numFmtId="0" fontId="37" fillId="0" borderId="0" xfId="0" applyNumberFormat="1" applyFont="1" applyAlignment="1">
      <alignment horizontal="center"/>
    </xf>
    <xf numFmtId="167" fontId="39" fillId="0" borderId="0" xfId="0" applyNumberFormat="1" applyFont="1" applyAlignment="1">
      <alignment horizontal="center"/>
    </xf>
    <xf numFmtId="172" fontId="37" fillId="0" borderId="6" xfId="0" applyNumberFormat="1" applyFont="1" applyBorder="1" applyAlignment="1">
      <alignment horizontal="center"/>
    </xf>
    <xf numFmtId="172" fontId="37" fillId="0" borderId="7" xfId="0" applyNumberFormat="1" applyFont="1" applyBorder="1" applyAlignment="1">
      <alignment horizontal="center"/>
    </xf>
    <xf numFmtId="10" fontId="37" fillId="0" borderId="0" xfId="7" applyNumberFormat="1" applyFont="1" applyAlignment="1">
      <alignment horizontal="center"/>
    </xf>
    <xf numFmtId="2" fontId="37" fillId="0" borderId="0" xfId="0" applyNumberFormat="1" applyFont="1" applyAlignment="1">
      <alignment horizontal="center"/>
    </xf>
    <xf numFmtId="10" fontId="37" fillId="0" borderId="1" xfId="7" applyNumberFormat="1" applyFont="1" applyBorder="1" applyAlignment="1">
      <alignment horizontal="center"/>
    </xf>
    <xf numFmtId="2" fontId="37" fillId="0" borderId="1" xfId="0" applyNumberFormat="1" applyFont="1" applyBorder="1" applyAlignment="1">
      <alignment horizontal="center"/>
    </xf>
    <xf numFmtId="164" fontId="37" fillId="0" borderId="1" xfId="0" applyFont="1" applyBorder="1" applyAlignment="1">
      <alignment horizontal="center"/>
    </xf>
    <xf numFmtId="164" fontId="37" fillId="0" borderId="1" xfId="0" applyFont="1" applyBorder="1"/>
    <xf numFmtId="172" fontId="37" fillId="0" borderId="8" xfId="0" applyNumberFormat="1" applyFont="1" applyBorder="1" applyAlignment="1">
      <alignment horizontal="center"/>
    </xf>
    <xf numFmtId="172" fontId="37" fillId="0" borderId="9" xfId="0" applyNumberFormat="1" applyFont="1" applyBorder="1" applyAlignment="1">
      <alignment horizontal="center"/>
    </xf>
    <xf numFmtId="9" fontId="37" fillId="0" borderId="0" xfId="7" applyFont="1" applyAlignment="1">
      <alignment horizontal="center"/>
    </xf>
    <xf numFmtId="9" fontId="17" fillId="8" borderId="20" xfId="7" applyFont="1" applyFill="1" applyBorder="1" applyAlignment="1">
      <alignment horizontal="left"/>
    </xf>
    <xf numFmtId="9" fontId="17" fillId="8" borderId="6" xfId="7" applyFont="1" applyFill="1" applyBorder="1" applyAlignment="1">
      <alignment horizontal="left"/>
    </xf>
    <xf numFmtId="9" fontId="21" fillId="0" borderId="0" xfId="7" applyFont="1"/>
    <xf numFmtId="9" fontId="18" fillId="8" borderId="20" xfId="7" applyFont="1" applyFill="1" applyBorder="1" applyAlignment="1">
      <alignment horizontal="center"/>
    </xf>
    <xf numFmtId="4" fontId="18" fillId="8" borderId="20" xfId="5" applyNumberFormat="1" applyFill="1" applyBorder="1" applyAlignment="1">
      <alignment horizontal="center"/>
    </xf>
    <xf numFmtId="44" fontId="18" fillId="8" borderId="20" xfId="4" applyFont="1" applyFill="1" applyBorder="1" applyAlignment="1">
      <alignment horizontal="center"/>
    </xf>
    <xf numFmtId="44" fontId="17" fillId="8" borderId="20" xfId="2" applyFont="1" applyFill="1" applyBorder="1" applyAlignment="1">
      <alignment horizontal="center"/>
    </xf>
    <xf numFmtId="43" fontId="5" fillId="11" borderId="0" xfId="9" applyFont="1" applyFill="1"/>
    <xf numFmtId="0" fontId="5" fillId="0" borderId="0" xfId="8" applyFill="1"/>
    <xf numFmtId="8" fontId="5" fillId="0" borderId="0" xfId="8" applyNumberFormat="1" applyFill="1"/>
    <xf numFmtId="0" fontId="4" fillId="0" borderId="0" xfId="8" applyFont="1"/>
    <xf numFmtId="172" fontId="0" fillId="0" borderId="6" xfId="0" applyNumberFormat="1" applyBorder="1" applyAlignment="1">
      <alignment horizontal="center"/>
    </xf>
    <xf numFmtId="172" fontId="0" fillId="0" borderId="7" xfId="0" applyNumberFormat="1" applyBorder="1" applyAlignment="1">
      <alignment horizontal="center"/>
    </xf>
    <xf numFmtId="164" fontId="37" fillId="3" borderId="0" xfId="0" applyFont="1" applyFill="1"/>
    <xf numFmtId="171" fontId="29" fillId="3" borderId="0" xfId="6" applyNumberFormat="1" applyFont="1" applyFill="1"/>
    <xf numFmtId="171" fontId="29" fillId="0" borderId="0" xfId="6" applyNumberFormat="1" applyFont="1" applyFill="1"/>
    <xf numFmtId="44" fontId="37" fillId="0" borderId="0" xfId="4" applyFont="1"/>
    <xf numFmtId="171" fontId="0" fillId="0" borderId="0" xfId="6" applyNumberFormat="1" applyFont="1" applyFill="1" applyAlignment="1" applyProtection="1">
      <alignment horizontal="left"/>
    </xf>
    <xf numFmtId="38" fontId="0" fillId="0" borderId="0" xfId="0" applyNumberFormat="1" applyFill="1"/>
    <xf numFmtId="38" fontId="9" fillId="0" borderId="0" xfId="0" applyNumberFormat="1" applyFont="1" applyFill="1"/>
    <xf numFmtId="38" fontId="34" fillId="3" borderId="0" xfId="0" applyNumberFormat="1" applyFont="1" applyFill="1"/>
    <xf numFmtId="171" fontId="0" fillId="3" borderId="0" xfId="6" applyNumberFormat="1" applyFont="1" applyFill="1" applyAlignment="1" applyProtection="1">
      <alignment horizontal="left"/>
    </xf>
    <xf numFmtId="44" fontId="18" fillId="0" borderId="20" xfId="4" applyFont="1" applyFill="1" applyBorder="1" applyAlignment="1">
      <alignment horizontal="center"/>
    </xf>
    <xf numFmtId="38" fontId="0" fillId="0" borderId="0" xfId="0" applyNumberFormat="1" applyFont="1"/>
    <xf numFmtId="38" fontId="41" fillId="0" borderId="0" xfId="0" applyNumberFormat="1" applyFont="1"/>
    <xf numFmtId="7" fontId="0" fillId="3" borderId="0" xfId="0" applyNumberFormat="1" applyFill="1" applyAlignment="1">
      <alignment horizontal="left"/>
    </xf>
    <xf numFmtId="44" fontId="0" fillId="0" borderId="0" xfId="4" applyFont="1"/>
    <xf numFmtId="43" fontId="3" fillId="0" borderId="0" xfId="9" applyFont="1"/>
    <xf numFmtId="44" fontId="37" fillId="11" borderId="0" xfId="4" applyFont="1" applyFill="1" applyAlignment="1">
      <alignment horizontal="center"/>
    </xf>
    <xf numFmtId="43" fontId="5" fillId="11" borderId="0" xfId="8" applyNumberFormat="1" applyFill="1"/>
    <xf numFmtId="10" fontId="5" fillId="6" borderId="0" xfId="10" applyNumberFormat="1" applyFont="1" applyFill="1" applyAlignment="1">
      <alignment horizontal="center"/>
    </xf>
    <xf numFmtId="10" fontId="5" fillId="0" borderId="0" xfId="10" applyNumberFormat="1" applyFont="1" applyFill="1" applyAlignment="1">
      <alignment horizontal="center"/>
    </xf>
    <xf numFmtId="0" fontId="2" fillId="11" borderId="0" xfId="8" applyFont="1" applyFill="1" applyAlignment="1">
      <alignment horizontal="center"/>
    </xf>
    <xf numFmtId="9" fontId="37" fillId="3" borderId="0" xfId="7" applyFont="1" applyFill="1" applyAlignment="1">
      <alignment horizontal="center"/>
    </xf>
    <xf numFmtId="1" fontId="37" fillId="3" borderId="0" xfId="0" applyNumberFormat="1" applyFont="1" applyFill="1" applyAlignment="1">
      <alignment horizontal="center"/>
    </xf>
    <xf numFmtId="0" fontId="1" fillId="0" borderId="0" xfId="8" applyFont="1"/>
    <xf numFmtId="38" fontId="41" fillId="0" borderId="0" xfId="0" applyNumberFormat="1" applyFont="1" applyFill="1"/>
    <xf numFmtId="38" fontId="34" fillId="0" borderId="0" xfId="0" applyNumberFormat="1" applyFont="1" applyFill="1"/>
    <xf numFmtId="6" fontId="6" fillId="0" borderId="0" xfId="0" applyNumberFormat="1" applyFont="1" applyFill="1"/>
    <xf numFmtId="38" fontId="0" fillId="0" borderId="4" xfId="0" applyNumberFormat="1" applyFill="1" applyBorder="1"/>
    <xf numFmtId="38" fontId="16" fillId="0" borderId="4" xfId="0" applyNumberFormat="1" applyFont="1" applyFill="1" applyBorder="1"/>
    <xf numFmtId="43" fontId="33" fillId="11" borderId="0" xfId="9" applyFont="1" applyFill="1" applyAlignment="1">
      <alignment horizontal="center"/>
    </xf>
    <xf numFmtId="43" fontId="5" fillId="0" borderId="0" xfId="9" applyFont="1" applyFill="1"/>
    <xf numFmtId="9" fontId="5" fillId="0" borderId="0" xfId="7" applyFont="1" applyFill="1"/>
    <xf numFmtId="38" fontId="8" fillId="0" borderId="4" xfId="0" applyNumberFormat="1" applyFont="1" applyFill="1" applyBorder="1"/>
    <xf numFmtId="38" fontId="9" fillId="0" borderId="3" xfId="0" applyNumberFormat="1" applyFont="1" applyFill="1" applyBorder="1"/>
    <xf numFmtId="40" fontId="9" fillId="0" borderId="0" xfId="0" applyNumberFormat="1" applyFont="1" applyFill="1"/>
    <xf numFmtId="0" fontId="9" fillId="0" borderId="0" xfId="7" applyNumberFormat="1" applyFont="1" applyFill="1" applyAlignment="1">
      <alignment horizontal="center"/>
    </xf>
    <xf numFmtId="167" fontId="9" fillId="0" borderId="0" xfId="0" applyNumberFormat="1" applyFont="1" applyFill="1" applyAlignment="1">
      <alignment horizontal="center"/>
    </xf>
    <xf numFmtId="38" fontId="9" fillId="3" borderId="0" xfId="0" applyNumberFormat="1" applyFont="1" applyFill="1"/>
    <xf numFmtId="0" fontId="17" fillId="0" borderId="0" xfId="5" applyFont="1" applyAlignment="1">
      <alignment horizontal="center"/>
    </xf>
    <xf numFmtId="0" fontId="25" fillId="9" borderId="0" xfId="5" applyFont="1" applyFill="1" applyAlignment="1">
      <alignment horizontal="center" vertical="center"/>
    </xf>
    <xf numFmtId="0" fontId="27" fillId="9" borderId="13" xfId="5" applyFont="1" applyFill="1" applyBorder="1" applyAlignment="1">
      <alignment horizontal="center"/>
    </xf>
    <xf numFmtId="0" fontId="27" fillId="9" borderId="14" xfId="5" applyFont="1" applyFill="1" applyBorder="1" applyAlignment="1">
      <alignment horizontal="center"/>
    </xf>
    <xf numFmtId="0" fontId="27" fillId="9" borderId="15" xfId="5" applyFont="1" applyFill="1" applyBorder="1" applyAlignment="1">
      <alignment horizontal="center"/>
    </xf>
    <xf numFmtId="0" fontId="27" fillId="9" borderId="17" xfId="5" applyFont="1" applyFill="1" applyBorder="1" applyAlignment="1">
      <alignment horizontal="center"/>
    </xf>
    <xf numFmtId="0" fontId="27" fillId="9" borderId="16" xfId="5" applyFont="1" applyFill="1" applyBorder="1" applyAlignment="1">
      <alignment horizontal="center"/>
    </xf>
    <xf numFmtId="0" fontId="27" fillId="9" borderId="18" xfId="5" applyFont="1" applyFill="1" applyBorder="1" applyAlignment="1">
      <alignment horizontal="center"/>
    </xf>
    <xf numFmtId="172" fontId="40" fillId="0" borderId="17" xfId="0" applyNumberFormat="1" applyFont="1" applyBorder="1" applyAlignment="1">
      <alignment horizontal="center"/>
    </xf>
    <xf numFmtId="172" fontId="40" fillId="0" borderId="18" xfId="0" applyNumberFormat="1" applyFont="1" applyBorder="1" applyAlignment="1">
      <alignment horizontal="center"/>
    </xf>
    <xf numFmtId="172" fontId="35" fillId="11" borderId="0" xfId="0" applyNumberFormat="1" applyFont="1" applyFill="1" applyAlignment="1">
      <alignment horizontal="center" textRotation="90"/>
    </xf>
    <xf numFmtId="164" fontId="6" fillId="0" borderId="13" xfId="0" applyFont="1" applyBorder="1" applyAlignment="1">
      <alignment horizontal="center"/>
    </xf>
    <xf numFmtId="164" fontId="6" fillId="0" borderId="14" xfId="0" applyFont="1" applyBorder="1" applyAlignment="1">
      <alignment horizontal="center"/>
    </xf>
    <xf numFmtId="164" fontId="6" fillId="0" borderId="15" xfId="0" applyFont="1" applyBorder="1" applyAlignment="1">
      <alignment horizontal="center"/>
    </xf>
  </cellXfs>
  <cellStyles count="11">
    <cellStyle name="Comma" xfId="6" builtinId="3"/>
    <cellStyle name="Comma 2" xfId="9" xr:uid="{47234D47-89AC-4B3C-AEC5-F2C7B85AA973}"/>
    <cellStyle name="Currency" xfId="4" builtinId="4"/>
    <cellStyle name="Currency 2" xfId="2" xr:uid="{00000000-0005-0000-0000-000002000000}"/>
    <cellStyle name="Normal" xfId="0" builtinId="0"/>
    <cellStyle name="Normal 2" xfId="1" xr:uid="{00000000-0005-0000-0000-000004000000}"/>
    <cellStyle name="Normal 2 2" xfId="5" xr:uid="{00000000-0005-0000-0000-000005000000}"/>
    <cellStyle name="Normal 4" xfId="8" xr:uid="{8687AFC6-15B0-43A6-B14E-5803C6C26B58}"/>
    <cellStyle name="Percent" xfId="7" builtinId="5"/>
    <cellStyle name="Percent 2" xfId="3" xr:uid="{00000000-0005-0000-0000-000007000000}"/>
    <cellStyle name="Percent 3" xfId="10" xr:uid="{2574333D-E621-4F6A-AE65-9649B659FA87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325438</xdr:colOff>
      <xdr:row>22</xdr:row>
      <xdr:rowOff>119062</xdr:rowOff>
    </xdr:from>
    <xdr:to>
      <xdr:col>24</xdr:col>
      <xdr:colOff>602433</xdr:colOff>
      <xdr:row>40</xdr:row>
      <xdr:rowOff>43330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A48636-23EC-3AEC-F52E-B2293095E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17063" y="4246562"/>
          <a:ext cx="5515745" cy="33532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319767</xdr:colOff>
      <xdr:row>1</xdr:row>
      <xdr:rowOff>101245</xdr:rowOff>
    </xdr:from>
    <xdr:to>
      <xdr:col>7</xdr:col>
      <xdr:colOff>326575</xdr:colOff>
      <xdr:row>16</xdr:row>
      <xdr:rowOff>120619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642B11-2FDB-45BE-522E-3945BA8A5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3446" y="291745"/>
          <a:ext cx="4578808" cy="29381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p1-usc\Accounting_SharePoint\Archive\General%20Accounting\AJK\Budgets\2025\HWBUD25.xlsx" TargetMode="External"/><Relationship Id="rId1" Type="http://schemas.openxmlformats.org/officeDocument/2006/relationships/externalLinkPath" Target="file:///\\sp1-usc\accounting_sharepoint\Archive\General%20Accounting\AJK\Budgets\2025\HWBUD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cco.com\corp\Documents\chuck_holmquist\My%20Documents\H&amp;W%20Budgets\HWBUD15%20April%20thru%20D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ey Assumptions"/>
      <sheetName val="HWIS"/>
      <sheetName val="HWBS"/>
      <sheetName val="HWSCF"/>
      <sheetName val="Overhead Exp"/>
      <sheetName val="Operating Exp"/>
      <sheetName val="Material and Sub"/>
      <sheetName val="Corp OH Alloc &amp; Interest Exp"/>
      <sheetName val="Indirect Labor"/>
      <sheetName val="Property Rental Expense"/>
      <sheetName val="Fleet Budget"/>
      <sheetName val="Finance Leases"/>
      <sheetName val="Operating Leases"/>
      <sheetName val="Depreciation - Owned"/>
      <sheetName val="Labor &amp; Fringes"/>
      <sheetName val="Fixed Assets"/>
      <sheetName val="Revenue and Direct Lbr"/>
      <sheetName val="WIP &amp; AP"/>
      <sheetName val="AR Turns"/>
      <sheetName val="Historical"/>
      <sheetName val="06-05 Steel Trans"/>
      <sheetName val="06-10 Wood Trans"/>
      <sheetName val="06-20 Dist OH"/>
      <sheetName val="06-21 &amp; 22 DECo OH"/>
      <sheetName val="06-25 URD Electric "/>
      <sheetName val="06-26 URD Gas"/>
      <sheetName val="06-27 Foundations"/>
      <sheetName val="06-30 Street Lights"/>
      <sheetName val="06-35 Substations"/>
      <sheetName val="06-40 ITC Ware"/>
      <sheetName val="06-50 Storm Services"/>
      <sheetName val="06-60 EPC"/>
      <sheetName val="Labor Rates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WIS"/>
      <sheetName val="HWBS"/>
      <sheetName val="HWSCF"/>
      <sheetName val="Revenue and Direct Lbr"/>
      <sheetName val="DTE Only Rev &amp; Lbr"/>
      <sheetName val="Labor &amp; Fringes"/>
      <sheetName val="Fixed Assets"/>
      <sheetName val="Overhead Exp"/>
      <sheetName val="Operating Exp"/>
      <sheetName val="Corp OH Alloc &amp; Interest Exp"/>
      <sheetName val="AR Turns"/>
      <sheetName val="WIP &amp; AP"/>
      <sheetName val="06-05 Steel Trans"/>
      <sheetName val="06-10 Wood Trans"/>
      <sheetName val="06-15 Comm"/>
      <sheetName val="06-20 Dist OH"/>
      <sheetName val="06-21 &amp; 22 DECo OH"/>
      <sheetName val="06-25 URD"/>
      <sheetName val="06-27 Foundations"/>
      <sheetName val="06-30 Street Lights"/>
      <sheetName val="06-35 Subs"/>
      <sheetName val="06-40 ITC Ware"/>
      <sheetName val="06-50 MISC"/>
    </sheetNames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ick Lipon" id="{80B7365E-A65E-47D9-8D76-84018F4372D0}" userId="S::nick_lipon@uscco.com::59ed3efc-3c0c-482d-844d-548f5f42b706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9" dT="2025-11-04T16:11:45.61" personId="{80B7365E-A65E-47D9-8D76-84018F4372D0}" id="{DC37ECDA-EA1F-4499-BC28-67D96B0F5E6B}">
    <text>See labor rates-DP tab</text>
  </threadedComment>
  <threadedComment ref="O28" dT="2025-11-04T16:11:40.64" personId="{80B7365E-A65E-47D9-8D76-84018F4372D0}" id="{B4B8FC48-95E2-4B07-8C96-47812FF0C530}">
    <text>See labor rates-DP tab - split between consulting, PC hardware, PC software, Internet</text>
  </threadedComment>
  <threadedComment ref="A38" dT="2025-11-04T16:11:17.15" personId="{80B7365E-A65E-47D9-8D76-84018F4372D0}" id="{4C3EC2DC-46E6-490B-8BDB-258CA193A983}">
    <text>Duplicate account</text>
  </threadedComment>
  <threadedComment ref="O44" dT="2025-11-04T16:11:31.63" personId="{80B7365E-A65E-47D9-8D76-84018F4372D0}" id="{C411DF58-3EFD-4FA5-9533-016AA9F9A3C7}">
    <text>See labor rates-DP tab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E59"/>
  <sheetViews>
    <sheetView zoomScale="130" zoomScaleNormal="130" workbookViewId="0">
      <selection activeCell="C18" sqref="C18"/>
    </sheetView>
  </sheetViews>
  <sheetFormatPr defaultRowHeight="15"/>
  <cols>
    <col min="1" max="1" width="23.77734375" customWidth="1"/>
    <col min="2" max="2" width="12.77734375" bestFit="1" customWidth="1"/>
    <col min="3" max="3" width="14.44140625" bestFit="1" customWidth="1"/>
    <col min="4" max="4" width="21.33203125" style="245" bestFit="1" customWidth="1"/>
  </cols>
  <sheetData>
    <row r="1" spans="1:4" s="218" customFormat="1" ht="15.75">
      <c r="A1" s="221" t="s">
        <v>239</v>
      </c>
      <c r="D1" s="246"/>
    </row>
    <row r="2" spans="1:4" s="218" customFormat="1" ht="15.75">
      <c r="A2" s="222" t="s">
        <v>296</v>
      </c>
      <c r="D2" s="246"/>
    </row>
    <row r="3" spans="1:4" s="218" customFormat="1" ht="15.75">
      <c r="A3" s="222" t="s">
        <v>387</v>
      </c>
      <c r="D3" s="246"/>
    </row>
    <row r="4" spans="1:4" s="218" customFormat="1" ht="15.75">
      <c r="A4" s="222" t="s">
        <v>313</v>
      </c>
      <c r="D4" s="246"/>
    </row>
    <row r="5" spans="1:4" s="218" customFormat="1" ht="15.75">
      <c r="A5" s="222" t="s">
        <v>314</v>
      </c>
      <c r="D5" s="246"/>
    </row>
    <row r="6" spans="1:4" s="218" customFormat="1" ht="15.75">
      <c r="A6" s="222" t="s">
        <v>388</v>
      </c>
      <c r="D6" s="246"/>
    </row>
    <row r="7" spans="1:4" s="218" customFormat="1" ht="15.75">
      <c r="A7" s="222" t="s">
        <v>297</v>
      </c>
      <c r="D7" s="246"/>
    </row>
    <row r="8" spans="1:4" s="218" customFormat="1" ht="15.75">
      <c r="A8" s="222" t="s">
        <v>385</v>
      </c>
      <c r="D8" s="246"/>
    </row>
    <row r="9" spans="1:4" s="218" customFormat="1" ht="15.75">
      <c r="A9" s="222"/>
      <c r="D9" s="246"/>
    </row>
    <row r="10" spans="1:4" s="218" customFormat="1" ht="15.75">
      <c r="A10" s="223" t="s">
        <v>240</v>
      </c>
      <c r="D10" s="246"/>
    </row>
    <row r="11" spans="1:4" s="218" customFormat="1" ht="15.75">
      <c r="A11" s="222" t="s">
        <v>241</v>
      </c>
      <c r="C11" s="249" t="s">
        <v>10</v>
      </c>
      <c r="D11" s="246"/>
    </row>
    <row r="12" spans="1:4" s="218" customFormat="1" ht="15.75">
      <c r="A12" s="222" t="s">
        <v>238</v>
      </c>
      <c r="D12" s="246"/>
    </row>
    <row r="13" spans="1:4" s="218" customFormat="1" ht="15.75">
      <c r="A13" s="222" t="s">
        <v>235</v>
      </c>
      <c r="D13" s="246"/>
    </row>
    <row r="14" spans="1:4" s="218" customFormat="1" ht="15.75">
      <c r="A14" s="222" t="s">
        <v>236</v>
      </c>
      <c r="D14" s="246"/>
    </row>
    <row r="15" spans="1:4" s="218" customFormat="1" ht="15.75">
      <c r="A15" s="205"/>
      <c r="D15" s="246"/>
    </row>
    <row r="16" spans="1:4" s="218" customFormat="1" ht="15.75">
      <c r="A16" s="221" t="s">
        <v>237</v>
      </c>
      <c r="D16" s="246"/>
    </row>
    <row r="17" spans="1:4" s="218" customFormat="1" ht="15.75">
      <c r="A17" s="222" t="s">
        <v>311</v>
      </c>
      <c r="D17" s="246"/>
    </row>
    <row r="18" spans="1:4" s="218" customFormat="1" ht="15.75">
      <c r="A18" s="222" t="s">
        <v>312</v>
      </c>
      <c r="D18" s="246"/>
    </row>
    <row r="19" spans="1:4" s="218" customFormat="1" ht="15.75">
      <c r="A19" s="222" t="s">
        <v>10</v>
      </c>
      <c r="D19" s="246"/>
    </row>
    <row r="22" spans="1:4">
      <c r="A22" s="213" t="s">
        <v>303</v>
      </c>
      <c r="B22" s="204" t="s">
        <v>392</v>
      </c>
      <c r="C22" s="204" t="s">
        <v>391</v>
      </c>
      <c r="D22" s="204" t="s">
        <v>390</v>
      </c>
    </row>
    <row r="23" spans="1:4">
      <c r="A23" s="205"/>
      <c r="B23" s="209">
        <f>CVRIS!T7</f>
        <v>2029126.3</v>
      </c>
      <c r="C23" s="211">
        <f>CVRIS!F7</f>
        <v>1827505</v>
      </c>
      <c r="D23" s="211">
        <f>CVRIS!D7</f>
        <v>2535921.5279999999</v>
      </c>
    </row>
    <row r="24" spans="1:4" hidden="1">
      <c r="A24" s="207" t="s">
        <v>256</v>
      </c>
      <c r="B24" s="210">
        <f>B23/C23-1</f>
        <v>0.11032599090016171</v>
      </c>
      <c r="C24" s="210">
        <f>C23/D23-1</f>
        <v>-0.2793527008537624</v>
      </c>
      <c r="D24" s="211"/>
    </row>
    <row r="25" spans="1:4" hidden="1">
      <c r="A25" s="207"/>
      <c r="B25" s="210"/>
      <c r="C25" s="210"/>
      <c r="D25" s="211"/>
    </row>
    <row r="26" spans="1:4" hidden="1">
      <c r="A26" s="213" t="s">
        <v>258</v>
      </c>
      <c r="B26" s="204" t="s">
        <v>251</v>
      </c>
      <c r="C26" s="204" t="s">
        <v>250</v>
      </c>
      <c r="D26" s="204"/>
    </row>
    <row r="27" spans="1:4" hidden="1">
      <c r="A27" s="207" t="s">
        <v>253</v>
      </c>
      <c r="B27" s="214" t="e">
        <f>+#REF!+(1700000/3)</f>
        <v>#REF!</v>
      </c>
      <c r="C27" s="220">
        <f>116442781+6826</f>
        <v>116449607</v>
      </c>
      <c r="D27" s="211"/>
    </row>
    <row r="28" spans="1:4" hidden="1">
      <c r="A28" s="207" t="s">
        <v>259</v>
      </c>
      <c r="B28" s="214" t="e">
        <f>+#REF!+(1700000/3)</f>
        <v>#REF!</v>
      </c>
      <c r="C28" s="220">
        <f>66183990-253380</f>
        <v>65930610</v>
      </c>
      <c r="D28" s="211"/>
    </row>
    <row r="29" spans="1:4" hidden="1">
      <c r="A29" s="207" t="s">
        <v>254</v>
      </c>
      <c r="B29" s="214" t="e">
        <f>+#REF!+(1700000/3)</f>
        <v>#REF!</v>
      </c>
      <c r="C29" s="220">
        <v>30792106</v>
      </c>
      <c r="D29" s="211"/>
    </row>
    <row r="30" spans="1:4" hidden="1">
      <c r="A30" s="207" t="s">
        <v>234</v>
      </c>
      <c r="B30" s="214" t="e">
        <f>+#REF!</f>
        <v>#REF!</v>
      </c>
      <c r="C30" s="220">
        <v>34492771</v>
      </c>
      <c r="D30" s="211"/>
    </row>
    <row r="31" spans="1:4" hidden="1">
      <c r="A31" s="207" t="s">
        <v>260</v>
      </c>
      <c r="B31" s="215" t="e">
        <f>+#REF!</f>
        <v>#REF!</v>
      </c>
      <c r="C31" s="216">
        <v>9524425</v>
      </c>
      <c r="D31" s="211"/>
    </row>
    <row r="32" spans="1:4" hidden="1">
      <c r="A32" s="207"/>
      <c r="B32" s="214" t="e">
        <f>SUM(B27:B31)</f>
        <v>#REF!</v>
      </c>
      <c r="C32" s="214">
        <f>SUM(C27:C31)</f>
        <v>257189519</v>
      </c>
      <c r="D32" s="211"/>
    </row>
    <row r="33" spans="1:5">
      <c r="B33" s="205"/>
      <c r="C33" s="205"/>
      <c r="D33" s="247"/>
    </row>
    <row r="34" spans="1:5">
      <c r="A34" s="213" t="s">
        <v>309</v>
      </c>
      <c r="B34" s="204" t="str">
        <f>B22</f>
        <v>2026 Budget</v>
      </c>
      <c r="C34" s="204" t="str">
        <f t="shared" ref="C34:D34" si="0">C22</f>
        <v>2025 Actual</v>
      </c>
      <c r="D34" s="204" t="str">
        <f t="shared" si="0"/>
        <v>2025 Budget</v>
      </c>
    </row>
    <row r="35" spans="1:5">
      <c r="B35" s="212">
        <f>'Labor Rates-DP'!F45</f>
        <v>14205</v>
      </c>
      <c r="C35" s="323">
        <v>0</v>
      </c>
      <c r="D35" s="324">
        <v>16201</v>
      </c>
    </row>
    <row r="36" spans="1:5" hidden="1">
      <c r="A36" s="207" t="s">
        <v>256</v>
      </c>
      <c r="B36" s="210" t="e">
        <f>B35/C35-1</f>
        <v>#DIV/0!</v>
      </c>
      <c r="C36" s="210">
        <f>C35/D35-1</f>
        <v>-1</v>
      </c>
      <c r="D36" s="247"/>
    </row>
    <row r="37" spans="1:5">
      <c r="B37" s="205"/>
      <c r="C37" s="205"/>
      <c r="D37" s="247"/>
    </row>
    <row r="38" spans="1:5">
      <c r="A38" s="213" t="s">
        <v>310</v>
      </c>
      <c r="B38" s="204" t="str">
        <f>B22</f>
        <v>2026 Budget</v>
      </c>
      <c r="C38" s="204" t="str">
        <f t="shared" ref="C38:D38" si="1">C22</f>
        <v>2025 Actual</v>
      </c>
      <c r="D38" s="204" t="str">
        <f t="shared" si="1"/>
        <v>2025 Budget</v>
      </c>
    </row>
    <row r="39" spans="1:5">
      <c r="B39" s="212">
        <f>'Labor Rates-DP'!B45-'Labor Rates-DP'!F45</f>
        <v>6015</v>
      </c>
      <c r="C39" s="323">
        <v>2740</v>
      </c>
      <c r="D39" s="324">
        <f>22382-16201</f>
        <v>6181</v>
      </c>
      <c r="E39" t="s">
        <v>10</v>
      </c>
    </row>
    <row r="40" spans="1:5" hidden="1">
      <c r="A40" s="207" t="s">
        <v>256</v>
      </c>
      <c r="B40" s="210">
        <f>B39/C39-1</f>
        <v>1.1952554744525545</v>
      </c>
      <c r="C40" s="210">
        <f>C39/D39-1</f>
        <v>-0.55670603462222945</v>
      </c>
      <c r="D40" s="247"/>
    </row>
    <row r="41" spans="1:5" hidden="1">
      <c r="A41" s="4"/>
      <c r="B41" s="205"/>
      <c r="C41" s="205"/>
      <c r="D41" s="247"/>
    </row>
    <row r="42" spans="1:5" hidden="1">
      <c r="A42" s="213" t="s">
        <v>304</v>
      </c>
      <c r="B42" s="204" t="str">
        <f>B22</f>
        <v>2026 Budget</v>
      </c>
      <c r="C42" s="204" t="s">
        <v>302</v>
      </c>
      <c r="D42" s="204" t="s">
        <v>251</v>
      </c>
    </row>
    <row r="43" spans="1:5" hidden="1">
      <c r="A43" s="206"/>
      <c r="B43" s="212">
        <f>+CVRIS!T18</f>
        <v>1249362.7593471901</v>
      </c>
      <c r="C43" s="219">
        <f>CVRIS!B18</f>
        <v>463486</v>
      </c>
      <c r="D43" s="211">
        <v>0</v>
      </c>
    </row>
    <row r="44" spans="1:5" hidden="1">
      <c r="A44" s="207" t="s">
        <v>256</v>
      </c>
      <c r="B44" s="210">
        <f>B43/C43-1</f>
        <v>1.6955782037584526</v>
      </c>
      <c r="C44" s="210" t="e">
        <f>C43/D43-1</f>
        <v>#DIV/0!</v>
      </c>
      <c r="D44" s="37"/>
    </row>
    <row r="45" spans="1:5" hidden="1">
      <c r="A45" s="207"/>
      <c r="B45" s="210"/>
      <c r="C45" s="210"/>
      <c r="D45" s="37"/>
    </row>
    <row r="46" spans="1:5" hidden="1">
      <c r="A46" s="207" t="s">
        <v>257</v>
      </c>
      <c r="B46" s="210" t="e">
        <f>+B43/CVRIS!#REF!</f>
        <v>#REF!</v>
      </c>
      <c r="C46" s="248">
        <v>0</v>
      </c>
      <c r="D46" s="248">
        <v>0</v>
      </c>
    </row>
    <row r="47" spans="1:5">
      <c r="B47" s="205"/>
      <c r="C47" s="205"/>
      <c r="D47" s="247"/>
    </row>
    <row r="48" spans="1:5">
      <c r="A48" s="213" t="s">
        <v>305</v>
      </c>
      <c r="B48" s="204" t="str">
        <f>B22</f>
        <v>2026 Budget</v>
      </c>
      <c r="C48" s="204" t="str">
        <f t="shared" ref="C48:D48" si="2">C22</f>
        <v>2025 Actual</v>
      </c>
      <c r="D48" s="204" t="str">
        <f t="shared" si="2"/>
        <v>2025 Budget</v>
      </c>
    </row>
    <row r="49" spans="1:5">
      <c r="B49" s="219">
        <f>+CVRIS!T73</f>
        <v>139398.55735422112</v>
      </c>
      <c r="C49" s="212">
        <f>CVRIS!F73</f>
        <v>-487054</v>
      </c>
      <c r="D49" s="211">
        <f>CVRIS!D73</f>
        <v>215414.2047500005</v>
      </c>
    </row>
    <row r="50" spans="1:5" hidden="1">
      <c r="A50" s="207" t="s">
        <v>256</v>
      </c>
      <c r="B50" s="210">
        <f>B49/C49-1</f>
        <v>-1.2862076019378161</v>
      </c>
      <c r="C50" s="210">
        <f>C49/D49-1</f>
        <v>-3.2610115269104547</v>
      </c>
      <c r="D50" s="37"/>
    </row>
    <row r="51" spans="1:5">
      <c r="A51" s="208"/>
      <c r="B51" s="51"/>
      <c r="C51" s="51"/>
      <c r="D51" s="37"/>
    </row>
    <row r="52" spans="1:5">
      <c r="A52" s="207" t="s">
        <v>261</v>
      </c>
      <c r="B52" s="210">
        <f>B49/B23</f>
        <v>6.869880763667649E-2</v>
      </c>
      <c r="C52" s="210">
        <f>C49/C23</f>
        <v>-0.26651308751549241</v>
      </c>
      <c r="D52" s="210">
        <f>D49/D23</f>
        <v>8.494513823536598E-2</v>
      </c>
    </row>
    <row r="54" spans="1:5">
      <c r="A54" s="213" t="s">
        <v>306</v>
      </c>
      <c r="B54" s="204" t="str">
        <f>B22</f>
        <v>2026 Budget</v>
      </c>
      <c r="C54" s="204" t="str">
        <f t="shared" ref="C54:D54" si="3">C22</f>
        <v>2025 Actual</v>
      </c>
      <c r="D54" s="204" t="str">
        <f t="shared" si="3"/>
        <v>2025 Budget</v>
      </c>
    </row>
    <row r="55" spans="1:5">
      <c r="B55" s="211">
        <f>CVRSCF!F22</f>
        <v>0</v>
      </c>
      <c r="C55" s="211">
        <f>CVRSCF!D22</f>
        <v>0</v>
      </c>
      <c r="D55" s="211">
        <v>0</v>
      </c>
    </row>
    <row r="56" spans="1:5">
      <c r="A56" s="207" t="s">
        <v>256</v>
      </c>
      <c r="B56" s="210">
        <v>0</v>
      </c>
      <c r="C56" s="210">
        <v>0</v>
      </c>
    </row>
    <row r="58" spans="1:5">
      <c r="A58" s="213" t="s">
        <v>307</v>
      </c>
      <c r="B58" s="204" t="str">
        <f>B22</f>
        <v>2026 Budget</v>
      </c>
      <c r="C58" s="204" t="str">
        <f t="shared" ref="C58:D58" si="4">C22</f>
        <v>2025 Actual</v>
      </c>
      <c r="D58" s="204" t="str">
        <f t="shared" si="4"/>
        <v>2025 Budget</v>
      </c>
    </row>
    <row r="59" spans="1:5">
      <c r="B59" s="219">
        <f>+-CVRSCF!F31</f>
        <v>157782</v>
      </c>
      <c r="C59" s="219">
        <f>-CVRSCF!D31</f>
        <v>-481997</v>
      </c>
      <c r="D59" s="219">
        <v>-233401</v>
      </c>
      <c r="E59" s="211" t="s">
        <v>10</v>
      </c>
    </row>
  </sheetData>
  <sheetProtection algorithmName="SHA-512" hashValue="gDHE9q3TgMxB/w0xjR3/I6KT61FV2HPnw7YmT1NgMcSpZar+u2WJY9MLVSSzR2xalOKeGJfawJR4Y+APbelqyA==" saltValue="iOXel9JgYUgToJZSKyeWRw==" spinCount="100000" sheet="1" objects="1" scenarios="1"/>
  <pageMargins left="0.7" right="0.7" top="0.75" bottom="0.75" header="0.3" footer="0.3"/>
  <pageSetup paperSize="5" scale="93" orientation="portrait" r:id="rId1"/>
  <headerFooter>
    <oddHeader>&amp;CThe Hydaker-Wheatlake Company
Budget File Key Assumptions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Sheet1">
    <tabColor rgb="FF92D050"/>
    <pageSetUpPr fitToPage="1"/>
  </sheetPr>
  <dimension ref="A1:W83"/>
  <sheetViews>
    <sheetView tabSelected="1" zoomScale="110" zoomScaleNormal="110" workbookViewId="0">
      <pane xSplit="2" ySplit="3" topLeftCell="C4" activePane="bottomRight" state="frozen"/>
      <selection activeCell="P32" sqref="P32"/>
      <selection pane="topRight" activeCell="P32" sqref="P32"/>
      <selection pane="bottomLeft" activeCell="P32" sqref="P32"/>
      <selection pane="bottomRight"/>
    </sheetView>
  </sheetViews>
  <sheetFormatPr defaultColWidth="9.77734375" defaultRowHeight="12.75"/>
  <cols>
    <col min="1" max="1" width="27.33203125" style="51" bestFit="1" customWidth="1"/>
    <col min="2" max="2" width="12.88671875" style="51" bestFit="1" customWidth="1"/>
    <col min="3" max="3" width="7.77734375" style="51" bestFit="1" customWidth="1"/>
    <col min="4" max="4" width="12.88671875" style="51" bestFit="1" customWidth="1"/>
    <col min="5" max="5" width="7.77734375" style="51" bestFit="1" customWidth="1"/>
    <col min="6" max="6" width="12.88671875" style="51" bestFit="1" customWidth="1"/>
    <col min="7" max="7" width="7.77734375" style="51" bestFit="1" customWidth="1"/>
    <col min="8" max="19" width="9" style="51" customWidth="1"/>
    <col min="20" max="20" width="12" style="51" bestFit="1" customWidth="1"/>
    <col min="21" max="21" width="5.88671875" style="51" bestFit="1" customWidth="1"/>
    <col min="22" max="23" width="10" style="51" bestFit="1" customWidth="1"/>
    <col min="24" max="16384" width="9.77734375" style="51"/>
  </cols>
  <sheetData>
    <row r="1" spans="1:21">
      <c r="A1" s="171"/>
      <c r="B1" s="172" t="s">
        <v>178</v>
      </c>
      <c r="C1" s="166" t="s">
        <v>5</v>
      </c>
      <c r="D1" s="172" t="s">
        <v>179</v>
      </c>
      <c r="E1" s="166" t="s">
        <v>5</v>
      </c>
      <c r="F1" s="172" t="s">
        <v>178</v>
      </c>
      <c r="G1" s="166" t="s">
        <v>5</v>
      </c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 t="s">
        <v>213</v>
      </c>
      <c r="U1" s="166" t="s">
        <v>5</v>
      </c>
    </row>
    <row r="2" spans="1:21">
      <c r="A2" s="171"/>
      <c r="B2" s="172" t="s">
        <v>104</v>
      </c>
      <c r="C2" s="172" t="s">
        <v>31</v>
      </c>
      <c r="D2" s="172" t="s">
        <v>104</v>
      </c>
      <c r="E2" s="172" t="s">
        <v>31</v>
      </c>
      <c r="F2" s="172" t="s">
        <v>104</v>
      </c>
      <c r="G2" s="172" t="s">
        <v>31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 t="s">
        <v>179</v>
      </c>
      <c r="U2" s="172" t="s">
        <v>31</v>
      </c>
    </row>
    <row r="3" spans="1:21">
      <c r="A3" s="171"/>
      <c r="B3" s="190">
        <v>45657</v>
      </c>
      <c r="C3" s="173" t="s">
        <v>3</v>
      </c>
      <c r="D3" s="190">
        <v>46022</v>
      </c>
      <c r="E3" s="173" t="s">
        <v>3</v>
      </c>
      <c r="F3" s="190">
        <v>46022</v>
      </c>
      <c r="G3" s="173" t="s">
        <v>3</v>
      </c>
      <c r="H3" s="173" t="s">
        <v>201</v>
      </c>
      <c r="I3" s="173" t="s">
        <v>202</v>
      </c>
      <c r="J3" s="173" t="s">
        <v>203</v>
      </c>
      <c r="K3" s="173" t="s">
        <v>204</v>
      </c>
      <c r="L3" s="173" t="s">
        <v>185</v>
      </c>
      <c r="M3" s="173" t="s">
        <v>205</v>
      </c>
      <c r="N3" s="173" t="s">
        <v>210</v>
      </c>
      <c r="O3" s="173" t="s">
        <v>206</v>
      </c>
      <c r="P3" s="173" t="s">
        <v>211</v>
      </c>
      <c r="Q3" s="173" t="s">
        <v>207</v>
      </c>
      <c r="R3" s="173" t="s">
        <v>208</v>
      </c>
      <c r="S3" s="173" t="s">
        <v>209</v>
      </c>
      <c r="T3" s="190">
        <v>46387</v>
      </c>
      <c r="U3" s="173" t="s">
        <v>3</v>
      </c>
    </row>
    <row r="4" spans="1:21">
      <c r="A4" s="174" t="s">
        <v>33</v>
      </c>
      <c r="B4" s="167"/>
      <c r="C4" s="175"/>
      <c r="D4" s="167"/>
      <c r="E4" s="175"/>
      <c r="F4" s="167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</row>
    <row r="5" spans="1:21">
      <c r="A5" s="176" t="s">
        <v>248</v>
      </c>
      <c r="B5" s="167">
        <v>1044746</v>
      </c>
      <c r="C5" s="175">
        <f>B5/B7*100</f>
        <v>100</v>
      </c>
      <c r="D5" s="167">
        <v>2535921.5279999999</v>
      </c>
      <c r="E5" s="175">
        <f>D5/D7*100</f>
        <v>100</v>
      </c>
      <c r="F5" s="167">
        <v>1827505</v>
      </c>
      <c r="G5" s="175">
        <f>F5/F7*100</f>
        <v>100</v>
      </c>
      <c r="H5" s="167">
        <f>'06-60 EPC'!C59</f>
        <v>169093.85833333331</v>
      </c>
      <c r="I5" s="167">
        <f>'06-60 EPC'!D59</f>
        <v>169093.85833333331</v>
      </c>
      <c r="J5" s="167">
        <f>'06-60 EPC'!E59</f>
        <v>169093.85833333331</v>
      </c>
      <c r="K5" s="167">
        <f>'06-60 EPC'!F59</f>
        <v>169093.85833333331</v>
      </c>
      <c r="L5" s="167">
        <f>'06-60 EPC'!G59</f>
        <v>169093.85833333331</v>
      </c>
      <c r="M5" s="167">
        <f>'06-60 EPC'!H59</f>
        <v>169093.85833333331</v>
      </c>
      <c r="N5" s="167">
        <f>'06-60 EPC'!I59</f>
        <v>169093.85833333331</v>
      </c>
      <c r="O5" s="167">
        <f>'06-60 EPC'!J59</f>
        <v>169093.85833333331</v>
      </c>
      <c r="P5" s="167">
        <f>'06-60 EPC'!K59</f>
        <v>169093.85833333331</v>
      </c>
      <c r="Q5" s="167">
        <f>'06-60 EPC'!L59</f>
        <v>169093.85833333331</v>
      </c>
      <c r="R5" s="167">
        <f>'06-60 EPC'!M59</f>
        <v>169093.85833333331</v>
      </c>
      <c r="S5" s="167">
        <f>'06-60 EPC'!N59</f>
        <v>169093.85833333331</v>
      </c>
      <c r="T5" s="167">
        <f t="shared" ref="T5:T6" si="0">SUM(H5:S5)</f>
        <v>2029126.3</v>
      </c>
      <c r="U5" s="175">
        <f>T5/T7*100</f>
        <v>100</v>
      </c>
    </row>
    <row r="6" spans="1:21">
      <c r="A6" s="177" t="s">
        <v>34</v>
      </c>
      <c r="B6" s="167">
        <v>0</v>
      </c>
      <c r="C6" s="175">
        <f>B6/B7*100</f>
        <v>0</v>
      </c>
      <c r="D6" s="167">
        <v>0</v>
      </c>
      <c r="E6" s="175">
        <f>D6/D7*100</f>
        <v>0</v>
      </c>
      <c r="F6" s="167">
        <v>0</v>
      </c>
      <c r="G6" s="175">
        <f>F6/F7*100</f>
        <v>0</v>
      </c>
      <c r="H6" s="167">
        <v>0</v>
      </c>
      <c r="I6" s="167">
        <v>0</v>
      </c>
      <c r="J6" s="167">
        <v>0</v>
      </c>
      <c r="K6" s="167">
        <v>0</v>
      </c>
      <c r="L6" s="167">
        <v>0</v>
      </c>
      <c r="M6" s="167">
        <v>0</v>
      </c>
      <c r="N6" s="167">
        <v>0</v>
      </c>
      <c r="O6" s="167">
        <v>0</v>
      </c>
      <c r="P6" s="167">
        <v>0</v>
      </c>
      <c r="Q6" s="167">
        <v>0</v>
      </c>
      <c r="R6" s="167">
        <v>0</v>
      </c>
      <c r="S6" s="167">
        <v>0</v>
      </c>
      <c r="T6" s="167">
        <f t="shared" si="0"/>
        <v>0</v>
      </c>
      <c r="U6" s="175">
        <f>T6/T7*100</f>
        <v>0</v>
      </c>
    </row>
    <row r="7" spans="1:21">
      <c r="A7" s="176" t="s">
        <v>217</v>
      </c>
      <c r="B7" s="179">
        <f>SUM(B5:B6)</f>
        <v>1044746</v>
      </c>
      <c r="C7" s="178">
        <f>B7/B7*100</f>
        <v>100</v>
      </c>
      <c r="D7" s="179">
        <f>SUM(D5:D6)</f>
        <v>2535921.5279999999</v>
      </c>
      <c r="E7" s="178">
        <f>D7/D7*100</f>
        <v>100</v>
      </c>
      <c r="F7" s="179">
        <f>SUM(F5:F6)</f>
        <v>1827505</v>
      </c>
      <c r="G7" s="178">
        <f>F7/F7*100</f>
        <v>100</v>
      </c>
      <c r="H7" s="354">
        <f t="shared" ref="H7:T7" si="1">SUM(H5:H6)</f>
        <v>169093.85833333331</v>
      </c>
      <c r="I7" s="354">
        <f t="shared" si="1"/>
        <v>169093.85833333331</v>
      </c>
      <c r="J7" s="354">
        <f t="shared" si="1"/>
        <v>169093.85833333331</v>
      </c>
      <c r="K7" s="354">
        <f t="shared" si="1"/>
        <v>169093.85833333331</v>
      </c>
      <c r="L7" s="354">
        <f t="shared" si="1"/>
        <v>169093.85833333331</v>
      </c>
      <c r="M7" s="354">
        <f t="shared" si="1"/>
        <v>169093.85833333331</v>
      </c>
      <c r="N7" s="354">
        <f t="shared" si="1"/>
        <v>169093.85833333331</v>
      </c>
      <c r="O7" s="354">
        <f t="shared" si="1"/>
        <v>169093.85833333331</v>
      </c>
      <c r="P7" s="354">
        <f t="shared" si="1"/>
        <v>169093.85833333331</v>
      </c>
      <c r="Q7" s="354">
        <f t="shared" si="1"/>
        <v>169093.85833333331</v>
      </c>
      <c r="R7" s="354">
        <f t="shared" si="1"/>
        <v>169093.85833333331</v>
      </c>
      <c r="S7" s="354">
        <f t="shared" si="1"/>
        <v>169093.85833333331</v>
      </c>
      <c r="T7" s="354">
        <f t="shared" si="1"/>
        <v>2029126.3</v>
      </c>
      <c r="U7" s="178">
        <f>T7/T7*100</f>
        <v>100</v>
      </c>
    </row>
    <row r="8" spans="1:21">
      <c r="A8" s="171"/>
      <c r="B8" s="193">
        <v>0</v>
      </c>
      <c r="C8" s="175"/>
      <c r="D8" s="193">
        <v>0</v>
      </c>
      <c r="E8" s="175"/>
      <c r="F8" s="193">
        <v>0</v>
      </c>
      <c r="G8" s="175"/>
      <c r="H8" s="355" t="str">
        <f>IF(H7='Revenue and Direct Lbr'!B14," ",H7-'Revenue and Direct Lbr'!B14)</f>
        <v xml:space="preserve"> </v>
      </c>
      <c r="I8" s="355" t="str">
        <f>IF(I7='Revenue and Direct Lbr'!F14," ",I7-'Revenue and Direct Lbr'!F14)</f>
        <v xml:space="preserve"> </v>
      </c>
      <c r="J8" s="355" t="str">
        <f>IF(J7='Revenue and Direct Lbr'!J14," ",J7-'Revenue and Direct Lbr'!J14)</f>
        <v xml:space="preserve"> </v>
      </c>
      <c r="K8" s="355" t="str">
        <f>IF(K7='Revenue and Direct Lbr'!N14," ",K7-'Revenue and Direct Lbr'!N14)</f>
        <v xml:space="preserve"> </v>
      </c>
      <c r="L8" s="355" t="str">
        <f>IF(L7='Revenue and Direct Lbr'!R14," ",L7-'Revenue and Direct Lbr'!R14)</f>
        <v xml:space="preserve"> </v>
      </c>
      <c r="M8" s="355" t="str">
        <f>IF(M7='Revenue and Direct Lbr'!V14," ",M7-'Revenue and Direct Lbr'!V14)</f>
        <v xml:space="preserve"> </v>
      </c>
      <c r="N8" s="355" t="str">
        <f>IF(N7='Revenue and Direct Lbr'!Z14," ",N7-'Revenue and Direct Lbr'!Z14)</f>
        <v xml:space="preserve"> </v>
      </c>
      <c r="O8" s="355" t="str">
        <f>IF(O7='Revenue and Direct Lbr'!AD14," ",O7-'Revenue and Direct Lbr'!AD14)</f>
        <v xml:space="preserve"> </v>
      </c>
      <c r="P8" s="355" t="str">
        <f>IF(P7='Revenue and Direct Lbr'!AH14," ",P7-'Revenue and Direct Lbr'!AH14)</f>
        <v xml:space="preserve"> </v>
      </c>
      <c r="Q8" s="355" t="str">
        <f>IF(Q7='Revenue and Direct Lbr'!AL14," ",Q7-'Revenue and Direct Lbr'!AL14)</f>
        <v xml:space="preserve"> </v>
      </c>
      <c r="R8" s="355" t="str">
        <f>IF(R7='Revenue and Direct Lbr'!AP14," ",R7-'Revenue and Direct Lbr'!AP14)</f>
        <v xml:space="preserve"> </v>
      </c>
      <c r="S8" s="355" t="str">
        <f>IF(S7='Revenue and Direct Lbr'!AT14," ",S7-'Revenue and Direct Lbr'!AT14)</f>
        <v xml:space="preserve"> </v>
      </c>
      <c r="T8" s="356"/>
      <c r="U8" s="175"/>
    </row>
    <row r="9" spans="1:21">
      <c r="A9" s="171"/>
      <c r="B9" s="167"/>
      <c r="C9" s="175"/>
      <c r="D9" s="167"/>
      <c r="E9" s="175"/>
      <c r="F9" s="167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</row>
    <row r="10" spans="1:21">
      <c r="A10" s="174" t="s">
        <v>35</v>
      </c>
      <c r="B10" s="167"/>
      <c r="C10" s="175"/>
      <c r="D10" s="167"/>
      <c r="E10" s="175"/>
      <c r="F10" s="167"/>
      <c r="G10" s="175"/>
      <c r="H10" s="175"/>
      <c r="J10" s="175"/>
      <c r="K10" s="175"/>
      <c r="L10" s="175"/>
      <c r="N10" s="175"/>
      <c r="O10" s="175"/>
      <c r="P10" s="175"/>
      <c r="Q10" s="175"/>
      <c r="R10" s="175"/>
      <c r="S10" s="175"/>
      <c r="T10" s="170"/>
      <c r="U10" s="175"/>
    </row>
    <row r="11" spans="1:21">
      <c r="A11" s="171"/>
      <c r="B11" s="167"/>
      <c r="C11" s="183" t="s">
        <v>2</v>
      </c>
      <c r="D11" s="167"/>
      <c r="E11" s="183" t="s">
        <v>2</v>
      </c>
      <c r="F11" s="167"/>
      <c r="G11" s="183" t="s">
        <v>2</v>
      </c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</row>
    <row r="12" spans="1:21">
      <c r="A12" s="174" t="s">
        <v>36</v>
      </c>
      <c r="B12" s="167"/>
      <c r="C12" s="184" t="s">
        <v>4</v>
      </c>
      <c r="D12" s="167"/>
      <c r="E12" s="184" t="s">
        <v>4</v>
      </c>
      <c r="F12" s="167"/>
      <c r="G12" s="184" t="s">
        <v>4</v>
      </c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4"/>
    </row>
    <row r="13" spans="1:21">
      <c r="A13" s="176" t="s">
        <v>249</v>
      </c>
      <c r="B13" s="167">
        <v>581260</v>
      </c>
      <c r="C13" s="175">
        <f>IF(B13=0,0,B5/B13)</f>
        <v>1.7973815504249389</v>
      </c>
      <c r="D13" s="167">
        <v>976681.12678391079</v>
      </c>
      <c r="E13" s="175">
        <f>IF(D13=0,0,D5/D13)</f>
        <v>2.5964682417387071</v>
      </c>
      <c r="F13" s="167">
        <v>1128553</v>
      </c>
      <c r="G13" s="175">
        <f>IF(F13=0,0,F5/F13)</f>
        <v>1.6193346701484113</v>
      </c>
      <c r="H13" s="167">
        <f>+'06-60 EPC'!C67</f>
        <v>64980.295054400834</v>
      </c>
      <c r="I13" s="167">
        <f>'06-60 EPC'!D67</f>
        <v>64980.295054400834</v>
      </c>
      <c r="J13" s="167">
        <f>'06-60 EPC'!E67</f>
        <v>64980.295054400834</v>
      </c>
      <c r="K13" s="167">
        <f>'06-60 EPC'!F67</f>
        <v>64980.295054400834</v>
      </c>
      <c r="L13" s="167">
        <f>'06-60 EPC'!G67</f>
        <v>64980.295054400834</v>
      </c>
      <c r="M13" s="167">
        <f>'06-60 EPC'!H67</f>
        <v>64980.295054400834</v>
      </c>
      <c r="N13" s="167">
        <f>'06-60 EPC'!I67</f>
        <v>64980.295054400834</v>
      </c>
      <c r="O13" s="167">
        <f>'06-60 EPC'!J67</f>
        <v>64980.295054400834</v>
      </c>
      <c r="P13" s="167">
        <f>'06-60 EPC'!K67</f>
        <v>64980.295054400834</v>
      </c>
      <c r="Q13" s="167">
        <f>'06-60 EPC'!L67</f>
        <v>64980.295054400834</v>
      </c>
      <c r="R13" s="167">
        <f>'06-60 EPC'!M67</f>
        <v>64980.295054400834</v>
      </c>
      <c r="S13" s="167">
        <f>'06-60 EPC'!N67</f>
        <v>64980.295054400834</v>
      </c>
      <c r="T13" s="167">
        <f>+SUM(H13:S13)</f>
        <v>779763.54065280978</v>
      </c>
      <c r="U13" s="175">
        <f>IF(T13=0,0,T5/T13)</f>
        <v>2.602232849077859</v>
      </c>
    </row>
    <row r="14" spans="1:21">
      <c r="A14" s="176" t="s">
        <v>37</v>
      </c>
      <c r="B14" s="182">
        <f>SUM(B13:B13)</f>
        <v>581260</v>
      </c>
      <c r="C14" s="178">
        <f>(B7/B14)</f>
        <v>1.7973815504249389</v>
      </c>
      <c r="D14" s="182">
        <f>SUM(D13:D13)</f>
        <v>976681.12678391079</v>
      </c>
      <c r="E14" s="178">
        <f>(D7/D14)</f>
        <v>2.5964682417387071</v>
      </c>
      <c r="F14" s="182">
        <f>SUM(F13:F13)</f>
        <v>1128553</v>
      </c>
      <c r="G14" s="178">
        <f>(F7/F14)</f>
        <v>1.6193346701484113</v>
      </c>
      <c r="H14" s="182">
        <f t="shared" ref="H14:T14" si="2">SUM(H13:H13)</f>
        <v>64980.295054400834</v>
      </c>
      <c r="I14" s="182">
        <f t="shared" si="2"/>
        <v>64980.295054400834</v>
      </c>
      <c r="J14" s="182">
        <f t="shared" si="2"/>
        <v>64980.295054400834</v>
      </c>
      <c r="K14" s="182">
        <f t="shared" si="2"/>
        <v>64980.295054400834</v>
      </c>
      <c r="L14" s="182">
        <f t="shared" si="2"/>
        <v>64980.295054400834</v>
      </c>
      <c r="M14" s="182">
        <f t="shared" si="2"/>
        <v>64980.295054400834</v>
      </c>
      <c r="N14" s="182">
        <f t="shared" si="2"/>
        <v>64980.295054400834</v>
      </c>
      <c r="O14" s="182">
        <f t="shared" si="2"/>
        <v>64980.295054400834</v>
      </c>
      <c r="P14" s="182">
        <f t="shared" si="2"/>
        <v>64980.295054400834</v>
      </c>
      <c r="Q14" s="182">
        <f t="shared" si="2"/>
        <v>64980.295054400834</v>
      </c>
      <c r="R14" s="182">
        <f t="shared" si="2"/>
        <v>64980.295054400834</v>
      </c>
      <c r="S14" s="182">
        <f t="shared" si="2"/>
        <v>64980.295054400834</v>
      </c>
      <c r="T14" s="182">
        <f t="shared" si="2"/>
        <v>779763.54065280978</v>
      </c>
      <c r="U14" s="178">
        <f>(T7/T14)</f>
        <v>2.602232849077859</v>
      </c>
    </row>
    <row r="15" spans="1:21">
      <c r="A15" s="176"/>
      <c r="B15" s="180">
        <v>0</v>
      </c>
      <c r="C15" s="175"/>
      <c r="D15" s="180">
        <v>0</v>
      </c>
      <c r="E15" s="175"/>
      <c r="F15" s="180">
        <v>0</v>
      </c>
      <c r="G15" s="175"/>
      <c r="H15" s="175" t="str">
        <f>IF(H14='Revenue and Direct Lbr'!D14," ",H14-'Revenue and Direct Lbr'!D14)</f>
        <v xml:space="preserve"> </v>
      </c>
      <c r="I15" s="175" t="str">
        <f>IF(I14='Revenue and Direct Lbr'!H14," ",I14-'Revenue and Direct Lbr'!H14)</f>
        <v xml:space="preserve"> </v>
      </c>
      <c r="J15" s="175" t="str">
        <f>IF(J14='Revenue and Direct Lbr'!L14," ",J14-'Revenue and Direct Lbr'!L14)</f>
        <v xml:space="preserve"> </v>
      </c>
      <c r="K15" s="175" t="str">
        <f>IF(K14='Revenue and Direct Lbr'!P14," ",K14-'Revenue and Direct Lbr'!P14)</f>
        <v xml:space="preserve"> </v>
      </c>
      <c r="L15" s="175" t="str">
        <f>IF(L14='Revenue and Direct Lbr'!T14," ",L14-'Revenue and Direct Lbr'!T14)</f>
        <v xml:space="preserve"> </v>
      </c>
      <c r="M15" s="175" t="str">
        <f>IF(M14='Revenue and Direct Lbr'!X14," ",M14-'Revenue and Direct Lbr'!X14)</f>
        <v xml:space="preserve"> </v>
      </c>
      <c r="N15" s="175" t="str">
        <f>IF(N14='Revenue and Direct Lbr'!AB14," ",N14-'Revenue and Direct Lbr'!AB14)</f>
        <v xml:space="preserve"> </v>
      </c>
      <c r="O15" s="175" t="str">
        <f>IF(O14='Revenue and Direct Lbr'!AF14," ",O14-'Revenue and Direct Lbr'!AF14)</f>
        <v xml:space="preserve"> </v>
      </c>
      <c r="P15" s="175" t="str">
        <f>IF(P14='Revenue and Direct Lbr'!AJ14," ",P14-'Revenue and Direct Lbr'!AJ14)</f>
        <v xml:space="preserve"> </v>
      </c>
      <c r="Q15" s="175" t="str">
        <f>IF(Q14='Revenue and Direct Lbr'!AN14," ",Q14-'Revenue and Direct Lbr'!AN14)</f>
        <v xml:space="preserve"> </v>
      </c>
      <c r="R15" s="175" t="str">
        <f>IF(R14='Revenue and Direct Lbr'!AR14," ",R14-'Revenue and Direct Lbr'!AR14)</f>
        <v xml:space="preserve"> </v>
      </c>
      <c r="S15" s="175" t="str">
        <f>IF(S14='Revenue and Direct Lbr'!AV14," ",S14-'Revenue and Direct Lbr'!AV14)</f>
        <v xml:space="preserve"> </v>
      </c>
      <c r="T15" s="357">
        <f>T14/T7</f>
        <v>0.38428536491435245</v>
      </c>
      <c r="U15" s="175"/>
    </row>
    <row r="16" spans="1:21">
      <c r="B16" s="167"/>
      <c r="C16" s="175"/>
      <c r="D16" s="167"/>
      <c r="E16" s="175"/>
      <c r="F16" s="167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</row>
    <row r="17" spans="1:23">
      <c r="A17" s="171"/>
      <c r="B17" s="167"/>
      <c r="C17" s="175"/>
      <c r="D17" s="167"/>
      <c r="E17" s="175"/>
      <c r="F17" s="167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</row>
    <row r="18" spans="1:23">
      <c r="A18" s="174" t="s">
        <v>38</v>
      </c>
      <c r="B18" s="167">
        <f>B7-B14</f>
        <v>463486</v>
      </c>
      <c r="C18" s="175">
        <f>B18/B7*100</f>
        <v>44.363510365198813</v>
      </c>
      <c r="D18" s="167">
        <f>D7-D14</f>
        <v>1559240.4012160893</v>
      </c>
      <c r="E18" s="175">
        <f>D18/D7*100</f>
        <v>61.486145529345784</v>
      </c>
      <c r="F18" s="167">
        <f>F7-F14</f>
        <v>698952</v>
      </c>
      <c r="G18" s="175">
        <f>F18/F7*100</f>
        <v>38.246242828336996</v>
      </c>
      <c r="H18" s="167">
        <f>H7-H14</f>
        <v>104113.56327893247</v>
      </c>
      <c r="I18" s="167">
        <f t="shared" ref="I18:T18" si="3">I7-I14</f>
        <v>104113.56327893247</v>
      </c>
      <c r="J18" s="167">
        <f t="shared" si="3"/>
        <v>104113.56327893247</v>
      </c>
      <c r="K18" s="167">
        <f t="shared" si="3"/>
        <v>104113.56327893247</v>
      </c>
      <c r="L18" s="167">
        <f t="shared" si="3"/>
        <v>104113.56327893247</v>
      </c>
      <c r="M18" s="167">
        <f t="shared" si="3"/>
        <v>104113.56327893247</v>
      </c>
      <c r="N18" s="167">
        <f t="shared" si="3"/>
        <v>104113.56327893247</v>
      </c>
      <c r="O18" s="167">
        <f t="shared" si="3"/>
        <v>104113.56327893247</v>
      </c>
      <c r="P18" s="167">
        <f t="shared" si="3"/>
        <v>104113.56327893247</v>
      </c>
      <c r="Q18" s="167">
        <f t="shared" si="3"/>
        <v>104113.56327893247</v>
      </c>
      <c r="R18" s="167">
        <f t="shared" si="3"/>
        <v>104113.56327893247</v>
      </c>
      <c r="S18" s="167">
        <f t="shared" si="3"/>
        <v>104113.56327893247</v>
      </c>
      <c r="T18" s="167">
        <f t="shared" si="3"/>
        <v>1249362.7593471901</v>
      </c>
      <c r="U18" s="175">
        <f>T18/T7*100</f>
        <v>61.571463508564747</v>
      </c>
      <c r="W18" s="217"/>
    </row>
    <row r="19" spans="1:23">
      <c r="A19" s="174"/>
      <c r="B19" s="167"/>
      <c r="C19" s="175"/>
      <c r="D19" s="167"/>
      <c r="E19" s="175"/>
      <c r="F19" s="167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</row>
    <row r="20" spans="1:23">
      <c r="A20" s="174"/>
      <c r="B20" s="185"/>
      <c r="C20" s="175"/>
      <c r="D20" s="185"/>
      <c r="E20" s="175"/>
      <c r="F20" s="18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</row>
    <row r="21" spans="1:23">
      <c r="A21" s="174" t="s">
        <v>39</v>
      </c>
      <c r="B21" s="167"/>
      <c r="C21" s="175"/>
      <c r="D21" s="167"/>
      <c r="E21" s="175"/>
      <c r="F21" s="167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</row>
    <row r="22" spans="1:23">
      <c r="A22" s="176" t="s">
        <v>333</v>
      </c>
      <c r="B22" s="167">
        <v>143759</v>
      </c>
      <c r="C22" s="175">
        <f>B22/$B$7*100</f>
        <v>13.760186686524763</v>
      </c>
      <c r="D22" s="167">
        <v>372623.05071608885</v>
      </c>
      <c r="E22" s="175">
        <f>D22/$D$7*100</f>
        <v>14.693792635214731</v>
      </c>
      <c r="F22" s="167">
        <f>163088+3</f>
        <v>163091</v>
      </c>
      <c r="G22" s="175">
        <f>F22/$F$7*100</f>
        <v>8.924243709319537</v>
      </c>
      <c r="H22" s="167">
        <f>'Operating Exp'!B8</f>
        <v>22235.645595592745</v>
      </c>
      <c r="I22" s="167">
        <f>'Operating Exp'!C8</f>
        <v>22235.645595592745</v>
      </c>
      <c r="J22" s="167">
        <f>'Operating Exp'!D8</f>
        <v>22235.645595592745</v>
      </c>
      <c r="K22" s="167">
        <f>'Operating Exp'!E8</f>
        <v>22235.645595592745</v>
      </c>
      <c r="L22" s="167">
        <f>'Operating Exp'!F8</f>
        <v>22235.645595592745</v>
      </c>
      <c r="M22" s="167">
        <f>'Operating Exp'!G8</f>
        <v>22235.645595592745</v>
      </c>
      <c r="N22" s="167">
        <f>'Operating Exp'!H8</f>
        <v>22235.645595592745</v>
      </c>
      <c r="O22" s="167">
        <f>'Operating Exp'!I8</f>
        <v>22235.645595592745</v>
      </c>
      <c r="P22" s="167">
        <f>'Operating Exp'!J8</f>
        <v>22235.645595592745</v>
      </c>
      <c r="Q22" s="167">
        <f>'Operating Exp'!K8</f>
        <v>22235.645595592745</v>
      </c>
      <c r="R22" s="167">
        <f>'Operating Exp'!L8</f>
        <v>22235.645595592745</v>
      </c>
      <c r="S22" s="167">
        <f>'Operating Exp'!M8</f>
        <v>22235.645595592745</v>
      </c>
      <c r="T22" s="167">
        <f>SUM(H22:S22)</f>
        <v>266827.74714711291</v>
      </c>
      <c r="U22" s="175">
        <f>T22/$T$7*100</f>
        <v>13.149883629575593</v>
      </c>
    </row>
    <row r="23" spans="1:23">
      <c r="A23" s="176" t="s">
        <v>340</v>
      </c>
      <c r="B23" s="167">
        <v>0</v>
      </c>
      <c r="C23" s="175">
        <f t="shared" ref="C23:C58" si="4">B23/$B$7*100</f>
        <v>0</v>
      </c>
      <c r="D23" s="167">
        <v>0</v>
      </c>
      <c r="E23" s="175">
        <f t="shared" ref="E23:E58" si="5">D23/$D$7*100</f>
        <v>0</v>
      </c>
      <c r="F23" s="167">
        <v>145865</v>
      </c>
      <c r="G23" s="175">
        <f t="shared" ref="G23:G61" si="6">F23/$F$7*100</f>
        <v>7.9816471090366363</v>
      </c>
      <c r="H23" s="328">
        <f>'Operating Exp'!B9</f>
        <v>5279.769733673078</v>
      </c>
      <c r="I23" s="328">
        <f>'Operating Exp'!C9</f>
        <v>5279.769733673078</v>
      </c>
      <c r="J23" s="328">
        <f>'Operating Exp'!D9</f>
        <v>5279.769733673078</v>
      </c>
      <c r="K23" s="328">
        <f>'Operating Exp'!E9</f>
        <v>5279.769733673078</v>
      </c>
      <c r="L23" s="328">
        <f>'Operating Exp'!F9</f>
        <v>5279.769733673078</v>
      </c>
      <c r="M23" s="328">
        <f>'Operating Exp'!G9</f>
        <v>5279.769733673078</v>
      </c>
      <c r="N23" s="328">
        <f>'Operating Exp'!H9</f>
        <v>5279.769733673078</v>
      </c>
      <c r="O23" s="328">
        <f>'Operating Exp'!I9</f>
        <v>5279.769733673078</v>
      </c>
      <c r="P23" s="328">
        <f>'Operating Exp'!J9</f>
        <v>5279.769733673078</v>
      </c>
      <c r="Q23" s="328">
        <f>'Operating Exp'!K9</f>
        <v>5279.769733673078</v>
      </c>
      <c r="R23" s="328">
        <f>'Operating Exp'!L9</f>
        <v>5279.769733673078</v>
      </c>
      <c r="S23" s="328">
        <f>'Operating Exp'!M9</f>
        <v>5279.769733673078</v>
      </c>
      <c r="T23" s="328">
        <f t="shared" ref="T23:T58" si="7">SUM(H23:S23)</f>
        <v>63357.236804076936</v>
      </c>
      <c r="U23" s="175">
        <f t="shared" ref="U23:U61" si="8">T23/$T$7*100</f>
        <v>3.1223900061852699</v>
      </c>
    </row>
    <row r="24" spans="1:23">
      <c r="A24" s="176" t="s">
        <v>175</v>
      </c>
      <c r="B24" s="167">
        <v>62045</v>
      </c>
      <c r="C24" s="175">
        <f t="shared" si="4"/>
        <v>5.9387640632268512</v>
      </c>
      <c r="D24" s="167">
        <v>100152.63300000002</v>
      </c>
      <c r="E24" s="175">
        <f t="shared" si="5"/>
        <v>3.9493585228951149</v>
      </c>
      <c r="F24" s="167">
        <v>90211</v>
      </c>
      <c r="G24" s="175">
        <f t="shared" si="6"/>
        <v>4.9362929239591686</v>
      </c>
      <c r="H24" s="167">
        <f>'Operating Exp'!B10</f>
        <v>7003.0693643505001</v>
      </c>
      <c r="I24" s="167">
        <f>'Operating Exp'!C10</f>
        <v>7003.0693643505001</v>
      </c>
      <c r="J24" s="167">
        <f>'Operating Exp'!D10</f>
        <v>7003.0693643505001</v>
      </c>
      <c r="K24" s="167">
        <f>'Operating Exp'!E10</f>
        <v>7003.0693643505001</v>
      </c>
      <c r="L24" s="167">
        <f>'Operating Exp'!F10</f>
        <v>7003.0693643505001</v>
      </c>
      <c r="M24" s="167">
        <f>'Operating Exp'!G10</f>
        <v>7003.0693643505001</v>
      </c>
      <c r="N24" s="167">
        <f>'Operating Exp'!H10</f>
        <v>7003.0693643505001</v>
      </c>
      <c r="O24" s="167">
        <f>'Operating Exp'!I10</f>
        <v>7003.0693643505001</v>
      </c>
      <c r="P24" s="167">
        <f>'Operating Exp'!J10</f>
        <v>7003.0693643505001</v>
      </c>
      <c r="Q24" s="167">
        <f>'Operating Exp'!K10</f>
        <v>7003.0693643505001</v>
      </c>
      <c r="R24" s="167">
        <f>'Operating Exp'!L10</f>
        <v>7003.0693643505001</v>
      </c>
      <c r="S24" s="167">
        <f>'Operating Exp'!M10</f>
        <v>7003.0693643505001</v>
      </c>
      <c r="T24" s="167">
        <f t="shared" si="7"/>
        <v>84036.832372206001</v>
      </c>
      <c r="U24" s="175">
        <f t="shared" si="8"/>
        <v>4.1415279261919773</v>
      </c>
    </row>
    <row r="25" spans="1:23">
      <c r="A25" s="176" t="s">
        <v>113</v>
      </c>
      <c r="B25" s="167">
        <v>503</v>
      </c>
      <c r="C25" s="175">
        <f t="shared" si="4"/>
        <v>4.8145673685278528E-2</v>
      </c>
      <c r="D25" s="167">
        <v>727.99999999999989</v>
      </c>
      <c r="E25" s="175">
        <f t="shared" si="5"/>
        <v>2.8707512908498795E-2</v>
      </c>
      <c r="F25" s="167">
        <v>646</v>
      </c>
      <c r="G25" s="175">
        <f t="shared" si="6"/>
        <v>3.5348740495922036E-2</v>
      </c>
      <c r="H25" s="167">
        <f>'Operating Exp'!B11</f>
        <v>37.378210000000003</v>
      </c>
      <c r="I25" s="167">
        <f>'Operating Exp'!C11</f>
        <v>37.378210000000003</v>
      </c>
      <c r="J25" s="167">
        <f>'Operating Exp'!D11</f>
        <v>37.378210000000003</v>
      </c>
      <c r="K25" s="167">
        <f>'Operating Exp'!E11</f>
        <v>37.378210000000003</v>
      </c>
      <c r="L25" s="167">
        <f>'Operating Exp'!F11</f>
        <v>37.378210000000003</v>
      </c>
      <c r="M25" s="167">
        <f>'Operating Exp'!G11</f>
        <v>37.378210000000003</v>
      </c>
      <c r="N25" s="167">
        <f>'Operating Exp'!H11</f>
        <v>37.378210000000003</v>
      </c>
      <c r="O25" s="167">
        <f>'Operating Exp'!I11</f>
        <v>37.378210000000003</v>
      </c>
      <c r="P25" s="167">
        <f>'Operating Exp'!J11</f>
        <v>37.378210000000003</v>
      </c>
      <c r="Q25" s="167">
        <f>'Operating Exp'!K11</f>
        <v>37.378210000000003</v>
      </c>
      <c r="R25" s="167">
        <f>'Operating Exp'!L11</f>
        <v>37.378210000000003</v>
      </c>
      <c r="S25" s="167">
        <f>'Operating Exp'!M11</f>
        <v>37.378210000000003</v>
      </c>
      <c r="T25" s="167">
        <f t="shared" si="7"/>
        <v>448.53852000000012</v>
      </c>
      <c r="U25" s="175">
        <f t="shared" si="8"/>
        <v>2.2105007460600165E-2</v>
      </c>
    </row>
    <row r="26" spans="1:23">
      <c r="A26" s="176" t="s">
        <v>341</v>
      </c>
      <c r="B26" s="167">
        <v>4099</v>
      </c>
      <c r="C26" s="175">
        <f t="shared" si="4"/>
        <v>0.39234416786472504</v>
      </c>
      <c r="D26" s="167">
        <v>10822.5</v>
      </c>
      <c r="E26" s="175">
        <f t="shared" si="5"/>
        <v>0.42676793743437946</v>
      </c>
      <c r="F26" s="167">
        <v>2636</v>
      </c>
      <c r="G26" s="175">
        <f t="shared" si="6"/>
        <v>0.14424037143537227</v>
      </c>
      <c r="H26" s="167">
        <f>'Operating Exp'!B12</f>
        <v>208.70194499999999</v>
      </c>
      <c r="I26" s="167">
        <f>'Operating Exp'!C12</f>
        <v>208.70194499999999</v>
      </c>
      <c r="J26" s="167">
        <f>'Operating Exp'!D12</f>
        <v>208.70194499999999</v>
      </c>
      <c r="K26" s="167">
        <f>'Operating Exp'!E12</f>
        <v>208.70194499999999</v>
      </c>
      <c r="L26" s="167">
        <f>'Operating Exp'!F12</f>
        <v>208.70194499999999</v>
      </c>
      <c r="M26" s="167">
        <f>'Operating Exp'!G12</f>
        <v>208.70194499999999</v>
      </c>
      <c r="N26" s="167">
        <f>'Operating Exp'!H12</f>
        <v>208.70194499999999</v>
      </c>
      <c r="O26" s="167">
        <f>'Operating Exp'!I12</f>
        <v>208.70194499999999</v>
      </c>
      <c r="P26" s="167">
        <f>'Operating Exp'!J12</f>
        <v>208.70194499999999</v>
      </c>
      <c r="Q26" s="167">
        <f>'Operating Exp'!K12</f>
        <v>208.70194499999999</v>
      </c>
      <c r="R26" s="167">
        <f>'Operating Exp'!L12</f>
        <v>208.70194499999999</v>
      </c>
      <c r="S26" s="167">
        <f>'Operating Exp'!M12</f>
        <v>208.70194499999999</v>
      </c>
      <c r="T26" s="167">
        <f t="shared" si="7"/>
        <v>2504.4233399999994</v>
      </c>
      <c r="U26" s="175">
        <f t="shared" si="8"/>
        <v>0.12342372872501822</v>
      </c>
    </row>
    <row r="27" spans="1:23">
      <c r="A27" s="176" t="s">
        <v>342</v>
      </c>
      <c r="B27" s="167">
        <v>49</v>
      </c>
      <c r="C27" s="175">
        <f t="shared" si="4"/>
        <v>4.6901352098979079E-3</v>
      </c>
      <c r="D27" s="167">
        <v>0</v>
      </c>
      <c r="E27" s="175">
        <f t="shared" si="5"/>
        <v>0</v>
      </c>
      <c r="F27" s="167">
        <v>186</v>
      </c>
      <c r="G27" s="175">
        <f t="shared" si="6"/>
        <v>1.0177810731023992E-2</v>
      </c>
      <c r="H27" s="167">
        <f>'Operating Exp'!B13</f>
        <v>0</v>
      </c>
      <c r="I27" s="167">
        <f>'Operating Exp'!C13</f>
        <v>0</v>
      </c>
      <c r="J27" s="167">
        <f>'Operating Exp'!D13</f>
        <v>0</v>
      </c>
      <c r="K27" s="167">
        <f>'Operating Exp'!E13</f>
        <v>0</v>
      </c>
      <c r="L27" s="167">
        <f>'Operating Exp'!F13</f>
        <v>0</v>
      </c>
      <c r="M27" s="167">
        <f>'Operating Exp'!G13</f>
        <v>0</v>
      </c>
      <c r="N27" s="167">
        <f>'Operating Exp'!H13</f>
        <v>0</v>
      </c>
      <c r="O27" s="167">
        <f>'Operating Exp'!I13</f>
        <v>0</v>
      </c>
      <c r="P27" s="167">
        <f>'Operating Exp'!J13</f>
        <v>0</v>
      </c>
      <c r="Q27" s="167">
        <f>'Operating Exp'!K13</f>
        <v>0</v>
      </c>
      <c r="R27" s="167">
        <f>'Operating Exp'!L13</f>
        <v>0</v>
      </c>
      <c r="S27" s="167">
        <f>'Operating Exp'!M13</f>
        <v>0</v>
      </c>
      <c r="T27" s="167">
        <f t="shared" si="7"/>
        <v>0</v>
      </c>
      <c r="U27" s="175">
        <f t="shared" si="8"/>
        <v>0</v>
      </c>
    </row>
    <row r="28" spans="1:23">
      <c r="A28" s="176" t="s">
        <v>335</v>
      </c>
      <c r="B28" s="167">
        <v>92</v>
      </c>
      <c r="C28" s="175">
        <f t="shared" si="4"/>
        <v>8.805968149196073E-3</v>
      </c>
      <c r="D28" s="167">
        <v>92.000000000000014</v>
      </c>
      <c r="E28" s="175">
        <f t="shared" si="5"/>
        <v>3.6278725104146839E-3</v>
      </c>
      <c r="F28" s="167">
        <v>397</v>
      </c>
      <c r="G28" s="175">
        <f t="shared" si="6"/>
        <v>2.1723606775357659E-2</v>
      </c>
      <c r="H28" s="167">
        <f>'Operating Exp'!B14</f>
        <v>19.027777777777779</v>
      </c>
      <c r="I28" s="167">
        <f>'Operating Exp'!C14</f>
        <v>19.027777777777779</v>
      </c>
      <c r="J28" s="167">
        <f>'Operating Exp'!D14</f>
        <v>19.027777777777779</v>
      </c>
      <c r="K28" s="167">
        <f>'Operating Exp'!E14</f>
        <v>19.027777777777779</v>
      </c>
      <c r="L28" s="167">
        <f>'Operating Exp'!F14</f>
        <v>19.027777777777779</v>
      </c>
      <c r="M28" s="167">
        <f>'Operating Exp'!G14</f>
        <v>19.027777777777779</v>
      </c>
      <c r="N28" s="167">
        <f>'Operating Exp'!H14</f>
        <v>19.027777777777779</v>
      </c>
      <c r="O28" s="167">
        <f>'Operating Exp'!I14</f>
        <v>19.027777777777779</v>
      </c>
      <c r="P28" s="167">
        <f>'Operating Exp'!J14</f>
        <v>19.027777777777779</v>
      </c>
      <c r="Q28" s="167">
        <f>'Operating Exp'!K14</f>
        <v>19.027777777777779</v>
      </c>
      <c r="R28" s="167">
        <f>'Operating Exp'!L14</f>
        <v>19.027777777777779</v>
      </c>
      <c r="S28" s="167">
        <f>'Operating Exp'!M14</f>
        <v>19.027777777777779</v>
      </c>
      <c r="T28" s="167">
        <f t="shared" si="7"/>
        <v>228.33333333333329</v>
      </c>
      <c r="U28" s="175">
        <f t="shared" si="8"/>
        <v>1.1252790589394721E-2</v>
      </c>
    </row>
    <row r="29" spans="1:23">
      <c r="A29" s="176" t="s">
        <v>334</v>
      </c>
      <c r="B29" s="167">
        <v>267</v>
      </c>
      <c r="C29" s="175">
        <f t="shared" si="4"/>
        <v>2.5556451041688601E-2</v>
      </c>
      <c r="D29" s="167">
        <v>0</v>
      </c>
      <c r="E29" s="175">
        <f t="shared" si="5"/>
        <v>0</v>
      </c>
      <c r="F29" s="167">
        <v>330</v>
      </c>
      <c r="G29" s="175">
        <f t="shared" si="6"/>
        <v>1.805740613568773E-2</v>
      </c>
      <c r="H29" s="328">
        <f>'Operating Exp'!B15</f>
        <v>20.194444444444446</v>
      </c>
      <c r="I29" s="328">
        <f>'Operating Exp'!C15</f>
        <v>20.194444444444446</v>
      </c>
      <c r="J29" s="328">
        <f>'Operating Exp'!D15</f>
        <v>20.194444444444446</v>
      </c>
      <c r="K29" s="328">
        <f>'Operating Exp'!E15</f>
        <v>20.194444444444446</v>
      </c>
      <c r="L29" s="328">
        <f>'Operating Exp'!F15</f>
        <v>20.194444444444446</v>
      </c>
      <c r="M29" s="328">
        <f>'Operating Exp'!G15</f>
        <v>20.194444444444446</v>
      </c>
      <c r="N29" s="328">
        <f>'Operating Exp'!H15</f>
        <v>20.194444444444446</v>
      </c>
      <c r="O29" s="328">
        <f>'Operating Exp'!I15</f>
        <v>20.194444444444446</v>
      </c>
      <c r="P29" s="328">
        <f>'Operating Exp'!J15</f>
        <v>20.194444444444446</v>
      </c>
      <c r="Q29" s="328">
        <f>'Operating Exp'!K15</f>
        <v>20.194444444444446</v>
      </c>
      <c r="R29" s="328">
        <f>'Operating Exp'!L15</f>
        <v>20.194444444444446</v>
      </c>
      <c r="S29" s="328">
        <f>'Operating Exp'!M15</f>
        <v>20.194444444444446</v>
      </c>
      <c r="T29" s="167">
        <f t="shared" si="7"/>
        <v>242.3333333333334</v>
      </c>
      <c r="U29" s="175">
        <f t="shared" si="8"/>
        <v>1.1942742713124038E-2</v>
      </c>
    </row>
    <row r="30" spans="1:23">
      <c r="A30" s="176" t="s">
        <v>16</v>
      </c>
      <c r="B30" s="167">
        <v>9790</v>
      </c>
      <c r="C30" s="175">
        <f t="shared" si="4"/>
        <v>0.93706987152858201</v>
      </c>
      <c r="D30" s="167">
        <v>4200</v>
      </c>
      <c r="E30" s="175">
        <f t="shared" si="5"/>
        <v>0.16562026677980077</v>
      </c>
      <c r="F30" s="167">
        <v>606</v>
      </c>
      <c r="G30" s="175">
        <f t="shared" si="6"/>
        <v>3.3159963994626555E-2</v>
      </c>
      <c r="H30" s="167">
        <f>'Operating Exp'!B16</f>
        <v>183.33333333333334</v>
      </c>
      <c r="I30" s="167">
        <f>'Operating Exp'!C16</f>
        <v>183.33333333333334</v>
      </c>
      <c r="J30" s="167">
        <f>'Operating Exp'!D16</f>
        <v>183.33333333333334</v>
      </c>
      <c r="K30" s="167">
        <f>'Operating Exp'!E16</f>
        <v>183.33333333333334</v>
      </c>
      <c r="L30" s="167">
        <f>'Operating Exp'!F16</f>
        <v>183.33333333333334</v>
      </c>
      <c r="M30" s="167">
        <f>'Operating Exp'!G16</f>
        <v>183.33333333333334</v>
      </c>
      <c r="N30" s="167">
        <f>'Operating Exp'!H16</f>
        <v>183.33333333333334</v>
      </c>
      <c r="O30" s="167">
        <f>'Operating Exp'!I16</f>
        <v>183.33333333333334</v>
      </c>
      <c r="P30" s="167">
        <f>'Operating Exp'!J16</f>
        <v>183.33333333333334</v>
      </c>
      <c r="Q30" s="167">
        <f>'Operating Exp'!K16</f>
        <v>183.33333333333334</v>
      </c>
      <c r="R30" s="167">
        <f>'Operating Exp'!L16</f>
        <v>183.33333333333334</v>
      </c>
      <c r="S30" s="167">
        <f>'Operating Exp'!M16</f>
        <v>183.33333333333334</v>
      </c>
      <c r="T30" s="167">
        <f t="shared" si="7"/>
        <v>2199.9999999999995</v>
      </c>
      <c r="U30" s="175">
        <f t="shared" si="8"/>
        <v>0.10842104801460607</v>
      </c>
    </row>
    <row r="31" spans="1:23">
      <c r="A31" s="176" t="s">
        <v>15</v>
      </c>
      <c r="B31" s="167">
        <v>546</v>
      </c>
      <c r="C31" s="175">
        <f t="shared" si="4"/>
        <v>5.2261506624576695E-2</v>
      </c>
      <c r="D31" s="167">
        <v>0</v>
      </c>
      <c r="E31" s="175">
        <f t="shared" si="5"/>
        <v>0</v>
      </c>
      <c r="F31" s="167">
        <v>830</v>
      </c>
      <c r="G31" s="175">
        <f t="shared" si="6"/>
        <v>4.5417112401881253E-2</v>
      </c>
      <c r="H31" s="328">
        <f>'Operating Exp'!B17</f>
        <v>47.5</v>
      </c>
      <c r="I31" s="328">
        <f>'Operating Exp'!C17</f>
        <v>47.5</v>
      </c>
      <c r="J31" s="328">
        <f>'Operating Exp'!D17</f>
        <v>47.5</v>
      </c>
      <c r="K31" s="328">
        <f>'Operating Exp'!E17</f>
        <v>47.5</v>
      </c>
      <c r="L31" s="328">
        <f>'Operating Exp'!F17</f>
        <v>47.5</v>
      </c>
      <c r="M31" s="328">
        <f>'Operating Exp'!G17</f>
        <v>47.5</v>
      </c>
      <c r="N31" s="328">
        <f>'Operating Exp'!H17</f>
        <v>47.5</v>
      </c>
      <c r="O31" s="328">
        <f>'Operating Exp'!I17</f>
        <v>47.5</v>
      </c>
      <c r="P31" s="328">
        <f>'Operating Exp'!J17</f>
        <v>47.5</v>
      </c>
      <c r="Q31" s="328">
        <f>'Operating Exp'!K17</f>
        <v>47.5</v>
      </c>
      <c r="R31" s="328">
        <f>'Operating Exp'!L17</f>
        <v>47.5</v>
      </c>
      <c r="S31" s="328">
        <f>'Operating Exp'!M17</f>
        <v>47.5</v>
      </c>
      <c r="T31" s="167">
        <f t="shared" si="7"/>
        <v>570</v>
      </c>
      <c r="U31" s="175">
        <f t="shared" si="8"/>
        <v>2.8090907894693394E-2</v>
      </c>
    </row>
    <row r="32" spans="1:23">
      <c r="A32" s="176" t="s">
        <v>17</v>
      </c>
      <c r="B32" s="167">
        <v>80</v>
      </c>
      <c r="C32" s="175">
        <f t="shared" si="4"/>
        <v>7.6573636079965857E-3</v>
      </c>
      <c r="D32" s="167">
        <v>0</v>
      </c>
      <c r="E32" s="175">
        <f t="shared" si="5"/>
        <v>0</v>
      </c>
      <c r="F32" s="167">
        <v>99</v>
      </c>
      <c r="G32" s="175">
        <f t="shared" si="6"/>
        <v>5.4172218407063186E-3</v>
      </c>
      <c r="H32" s="328">
        <f>'Operating Exp'!B18</f>
        <v>70.166666666666671</v>
      </c>
      <c r="I32" s="328">
        <f>'Operating Exp'!C18</f>
        <v>70.166666666666671</v>
      </c>
      <c r="J32" s="328">
        <f>'Operating Exp'!D18</f>
        <v>70.166666666666671</v>
      </c>
      <c r="K32" s="328">
        <f>'Operating Exp'!E18</f>
        <v>70.166666666666671</v>
      </c>
      <c r="L32" s="328">
        <f>'Operating Exp'!F18</f>
        <v>70.166666666666671</v>
      </c>
      <c r="M32" s="328">
        <f>'Operating Exp'!G18</f>
        <v>70.166666666666671</v>
      </c>
      <c r="N32" s="328">
        <f>'Operating Exp'!H18</f>
        <v>70.166666666666671</v>
      </c>
      <c r="O32" s="328">
        <f>'Operating Exp'!I18</f>
        <v>70.166666666666671</v>
      </c>
      <c r="P32" s="328">
        <f>'Operating Exp'!J18</f>
        <v>70.166666666666671</v>
      </c>
      <c r="Q32" s="328">
        <f>'Operating Exp'!K18</f>
        <v>70.166666666666671</v>
      </c>
      <c r="R32" s="328">
        <f>'Operating Exp'!L18</f>
        <v>70.166666666666671</v>
      </c>
      <c r="S32" s="328">
        <f>'Operating Exp'!M18</f>
        <v>70.166666666666671</v>
      </c>
      <c r="T32" s="167">
        <f t="shared" si="7"/>
        <v>841.99999999999989</v>
      </c>
      <c r="U32" s="175">
        <f t="shared" si="8"/>
        <v>4.1495692012862871E-2</v>
      </c>
    </row>
    <row r="33" spans="1:21">
      <c r="A33" s="176" t="s">
        <v>14</v>
      </c>
      <c r="B33" s="167">
        <v>34640</v>
      </c>
      <c r="C33" s="175">
        <f t="shared" si="4"/>
        <v>3.3156384422625211</v>
      </c>
      <c r="D33" s="167">
        <v>38000</v>
      </c>
      <c r="E33" s="175">
        <f t="shared" si="5"/>
        <v>1.4984690803886738</v>
      </c>
      <c r="F33" s="167">
        <v>35810</v>
      </c>
      <c r="G33" s="175">
        <f t="shared" si="6"/>
        <v>1.9595021627847802</v>
      </c>
      <c r="H33" s="167">
        <f>'Operating Exp'!B19</f>
        <v>5000</v>
      </c>
      <c r="I33" s="167">
        <f>'Operating Exp'!C19</f>
        <v>5000</v>
      </c>
      <c r="J33" s="167">
        <f>'Operating Exp'!D19</f>
        <v>5000</v>
      </c>
      <c r="K33" s="167">
        <f>'Operating Exp'!E19</f>
        <v>5000</v>
      </c>
      <c r="L33" s="167">
        <f>'Operating Exp'!F19</f>
        <v>5000</v>
      </c>
      <c r="M33" s="167">
        <f>'Operating Exp'!G19</f>
        <v>5000</v>
      </c>
      <c r="N33" s="167">
        <f>'Operating Exp'!H19</f>
        <v>5000</v>
      </c>
      <c r="O33" s="167">
        <f>'Operating Exp'!I19</f>
        <v>5000</v>
      </c>
      <c r="P33" s="167">
        <f>'Operating Exp'!J19</f>
        <v>5000</v>
      </c>
      <c r="Q33" s="167">
        <f>'Operating Exp'!K19</f>
        <v>5000</v>
      </c>
      <c r="R33" s="167">
        <f>'Operating Exp'!L19</f>
        <v>5000</v>
      </c>
      <c r="S33" s="167">
        <f>'Operating Exp'!M19</f>
        <v>5000</v>
      </c>
      <c r="T33" s="167">
        <f t="shared" si="7"/>
        <v>60000</v>
      </c>
      <c r="U33" s="175">
        <f t="shared" si="8"/>
        <v>2.9569376731256205</v>
      </c>
    </row>
    <row r="34" spans="1:21">
      <c r="A34" s="176" t="s">
        <v>336</v>
      </c>
      <c r="B34" s="167">
        <v>9056</v>
      </c>
      <c r="C34" s="175">
        <f t="shared" si="4"/>
        <v>0.86681356042521351</v>
      </c>
      <c r="D34" s="167">
        <v>13167.22</v>
      </c>
      <c r="E34" s="175">
        <f t="shared" si="5"/>
        <v>0.51922821170198286</v>
      </c>
      <c r="F34" s="167">
        <v>13308</v>
      </c>
      <c r="G34" s="175">
        <f t="shared" si="6"/>
        <v>0.72820594198100697</v>
      </c>
      <c r="H34" s="167">
        <f>'Operating Exp'!B20</f>
        <v>924.95710383666676</v>
      </c>
      <c r="I34" s="167">
        <f>'Operating Exp'!C20</f>
        <v>924.95710383666676</v>
      </c>
      <c r="J34" s="167">
        <f>'Operating Exp'!D20</f>
        <v>924.95710383666676</v>
      </c>
      <c r="K34" s="167">
        <f>'Operating Exp'!E20</f>
        <v>924.95710383666676</v>
      </c>
      <c r="L34" s="167">
        <f>'Operating Exp'!F20</f>
        <v>924.95710383666676</v>
      </c>
      <c r="M34" s="167">
        <f>'Operating Exp'!G20</f>
        <v>924.95710383666676</v>
      </c>
      <c r="N34" s="167">
        <f>'Operating Exp'!H20</f>
        <v>924.95710383666676</v>
      </c>
      <c r="O34" s="167">
        <f>'Operating Exp'!I20</f>
        <v>924.95710383666676</v>
      </c>
      <c r="P34" s="167">
        <f>'Operating Exp'!J20</f>
        <v>924.95710383666676</v>
      </c>
      <c r="Q34" s="167">
        <f>'Operating Exp'!K20</f>
        <v>924.95710383666676</v>
      </c>
      <c r="R34" s="167">
        <f>'Operating Exp'!L20</f>
        <v>924.95710383666676</v>
      </c>
      <c r="S34" s="167">
        <f>'Operating Exp'!M20</f>
        <v>924.95710383666676</v>
      </c>
      <c r="T34" s="167">
        <f t="shared" si="7"/>
        <v>11099.485246040002</v>
      </c>
      <c r="U34" s="175">
        <f t="shared" si="8"/>
        <v>0.54700810127196131</v>
      </c>
    </row>
    <row r="35" spans="1:21">
      <c r="A35" s="176" t="s">
        <v>97</v>
      </c>
      <c r="B35" s="167">
        <v>3655</v>
      </c>
      <c r="C35" s="175">
        <f t="shared" si="4"/>
        <v>0.34984579984034397</v>
      </c>
      <c r="D35" s="167">
        <v>3655.0000000000005</v>
      </c>
      <c r="E35" s="175">
        <f t="shared" si="5"/>
        <v>0.14412906549527901</v>
      </c>
      <c r="F35" s="167">
        <v>4284</v>
      </c>
      <c r="G35" s="175">
        <f t="shared" si="6"/>
        <v>0.23441796328874612</v>
      </c>
      <c r="H35" s="167">
        <f>'Operating Exp'!B21</f>
        <v>401.97222222222223</v>
      </c>
      <c r="I35" s="167">
        <f>'Operating Exp'!C21</f>
        <v>401.97222222222223</v>
      </c>
      <c r="J35" s="167">
        <f>'Operating Exp'!D21</f>
        <v>401.97222222222223</v>
      </c>
      <c r="K35" s="167">
        <f>'Operating Exp'!E21</f>
        <v>401.97222222222223</v>
      </c>
      <c r="L35" s="167">
        <f>'Operating Exp'!F21</f>
        <v>401.97222222222223</v>
      </c>
      <c r="M35" s="167">
        <f>'Operating Exp'!G21</f>
        <v>401.97222222222223</v>
      </c>
      <c r="N35" s="167">
        <f>'Operating Exp'!H21</f>
        <v>401.97222222222223</v>
      </c>
      <c r="O35" s="167">
        <f>'Operating Exp'!I21</f>
        <v>401.97222222222223</v>
      </c>
      <c r="P35" s="167">
        <f>'Operating Exp'!J21</f>
        <v>401.97222222222223</v>
      </c>
      <c r="Q35" s="167">
        <f>'Operating Exp'!K21</f>
        <v>401.97222222222223</v>
      </c>
      <c r="R35" s="167">
        <f>'Operating Exp'!L21</f>
        <v>401.97222222222223</v>
      </c>
      <c r="S35" s="167">
        <f>'Operating Exp'!M21</f>
        <v>401.97222222222223</v>
      </c>
      <c r="T35" s="167">
        <f t="shared" si="7"/>
        <v>4823.666666666667</v>
      </c>
      <c r="U35" s="175">
        <f t="shared" si="8"/>
        <v>0.23772136148778253</v>
      </c>
    </row>
    <row r="36" spans="1:21">
      <c r="A36" s="176" t="s">
        <v>98</v>
      </c>
      <c r="B36" s="167">
        <v>1150</v>
      </c>
      <c r="C36" s="175">
        <f t="shared" si="4"/>
        <v>0.11007460186495091</v>
      </c>
      <c r="D36" s="167">
        <v>1150</v>
      </c>
      <c r="E36" s="175">
        <f t="shared" si="5"/>
        <v>4.5348406380183545E-2</v>
      </c>
      <c r="F36" s="167">
        <v>1396</v>
      </c>
      <c r="G36" s="175">
        <f t="shared" si="6"/>
        <v>7.6388299895212328E-2</v>
      </c>
      <c r="H36" s="167">
        <f>'Operating Exp'!B22</f>
        <v>112.5</v>
      </c>
      <c r="I36" s="167">
        <f>'Operating Exp'!C22</f>
        <v>112.5</v>
      </c>
      <c r="J36" s="167">
        <f>'Operating Exp'!D22</f>
        <v>112.5</v>
      </c>
      <c r="K36" s="167">
        <f>'Operating Exp'!E22</f>
        <v>112.5</v>
      </c>
      <c r="L36" s="167">
        <f>'Operating Exp'!F22</f>
        <v>112.5</v>
      </c>
      <c r="M36" s="167">
        <f>'Operating Exp'!G22</f>
        <v>112.5</v>
      </c>
      <c r="N36" s="167">
        <f>'Operating Exp'!H22</f>
        <v>112.5</v>
      </c>
      <c r="O36" s="167">
        <f>'Operating Exp'!I22</f>
        <v>112.5</v>
      </c>
      <c r="P36" s="167">
        <f>'Operating Exp'!J22</f>
        <v>112.5</v>
      </c>
      <c r="Q36" s="167">
        <f>'Operating Exp'!K22</f>
        <v>112.5</v>
      </c>
      <c r="R36" s="167">
        <f>'Operating Exp'!L22</f>
        <v>112.5</v>
      </c>
      <c r="S36" s="167">
        <f>'Operating Exp'!M22</f>
        <v>112.5</v>
      </c>
      <c r="T36" s="167">
        <f t="shared" si="7"/>
        <v>1350</v>
      </c>
      <c r="U36" s="175">
        <f t="shared" si="8"/>
        <v>6.6531097645326456E-2</v>
      </c>
    </row>
    <row r="37" spans="1:21">
      <c r="A37" s="176" t="s">
        <v>337</v>
      </c>
      <c r="B37" s="167">
        <v>6316</v>
      </c>
      <c r="C37" s="175">
        <f t="shared" si="4"/>
        <v>0.60454885685133042</v>
      </c>
      <c r="D37" s="167">
        <v>9720</v>
      </c>
      <c r="E37" s="175">
        <f t="shared" si="5"/>
        <v>0.38329261740468179</v>
      </c>
      <c r="F37" s="167">
        <v>10669</v>
      </c>
      <c r="G37" s="175">
        <f t="shared" si="6"/>
        <v>0.5838014123080375</v>
      </c>
      <c r="H37" s="167">
        <f>'Operating Exp'!B23</f>
        <v>1150</v>
      </c>
      <c r="I37" s="167">
        <f>'Operating Exp'!C23</f>
        <v>1150</v>
      </c>
      <c r="J37" s="167">
        <f>'Operating Exp'!D23</f>
        <v>1150</v>
      </c>
      <c r="K37" s="167">
        <f>'Operating Exp'!E23</f>
        <v>1150</v>
      </c>
      <c r="L37" s="167">
        <f>'Operating Exp'!F23</f>
        <v>1150</v>
      </c>
      <c r="M37" s="167">
        <f>'Operating Exp'!G23</f>
        <v>1150</v>
      </c>
      <c r="N37" s="167">
        <f>'Operating Exp'!H23</f>
        <v>1150</v>
      </c>
      <c r="O37" s="167">
        <f>'Operating Exp'!I23</f>
        <v>1150</v>
      </c>
      <c r="P37" s="167">
        <f>'Operating Exp'!J23</f>
        <v>1150</v>
      </c>
      <c r="Q37" s="167">
        <f>'Operating Exp'!K23</f>
        <v>1150</v>
      </c>
      <c r="R37" s="167">
        <f>'Operating Exp'!L23</f>
        <v>1150</v>
      </c>
      <c r="S37" s="167">
        <f>'Operating Exp'!M23</f>
        <v>1150</v>
      </c>
      <c r="T37" s="167">
        <f t="shared" si="7"/>
        <v>13800</v>
      </c>
      <c r="U37" s="175">
        <f t="shared" si="8"/>
        <v>0.68009566481889272</v>
      </c>
    </row>
    <row r="38" spans="1:21">
      <c r="A38" s="176" t="s">
        <v>89</v>
      </c>
      <c r="B38" s="167">
        <v>36369</v>
      </c>
      <c r="C38" s="175">
        <f t="shared" si="4"/>
        <v>3.4811332132403479</v>
      </c>
      <c r="D38" s="167">
        <v>43200</v>
      </c>
      <c r="E38" s="175">
        <f t="shared" si="5"/>
        <v>1.7035227440208078</v>
      </c>
      <c r="F38" s="167">
        <v>41872</v>
      </c>
      <c r="G38" s="175">
        <f t="shared" si="6"/>
        <v>2.2912112415561108</v>
      </c>
      <c r="H38" s="167">
        <f>'Operating Exp'!B24</f>
        <v>3650</v>
      </c>
      <c r="I38" s="167">
        <f>'Operating Exp'!C24</f>
        <v>3650</v>
      </c>
      <c r="J38" s="167">
        <f>'Operating Exp'!D24</f>
        <v>3650</v>
      </c>
      <c r="K38" s="167">
        <f>'Operating Exp'!E24</f>
        <v>3650</v>
      </c>
      <c r="L38" s="167">
        <f>'Operating Exp'!F24</f>
        <v>3650</v>
      </c>
      <c r="M38" s="167">
        <f>'Operating Exp'!G24</f>
        <v>3650</v>
      </c>
      <c r="N38" s="167">
        <f>'Operating Exp'!H24</f>
        <v>3650</v>
      </c>
      <c r="O38" s="167">
        <f>'Operating Exp'!I24</f>
        <v>3650</v>
      </c>
      <c r="P38" s="167">
        <f>'Operating Exp'!J24</f>
        <v>3650</v>
      </c>
      <c r="Q38" s="167">
        <f>'Operating Exp'!K24</f>
        <v>3650</v>
      </c>
      <c r="R38" s="167">
        <f>'Operating Exp'!L24</f>
        <v>3650</v>
      </c>
      <c r="S38" s="167">
        <f>'Operating Exp'!M24</f>
        <v>3650</v>
      </c>
      <c r="T38" s="167">
        <f t="shared" si="7"/>
        <v>43800</v>
      </c>
      <c r="U38" s="175">
        <f t="shared" si="8"/>
        <v>2.158564501381703</v>
      </c>
    </row>
    <row r="39" spans="1:21">
      <c r="A39" s="176" t="s">
        <v>338</v>
      </c>
      <c r="B39" s="167">
        <v>2326</v>
      </c>
      <c r="C39" s="175">
        <f t="shared" si="4"/>
        <v>0.22263784690250069</v>
      </c>
      <c r="D39" s="167">
        <v>2500</v>
      </c>
      <c r="E39" s="175">
        <f t="shared" si="5"/>
        <v>9.8583492130833783E-2</v>
      </c>
      <c r="F39" s="167">
        <v>5748</v>
      </c>
      <c r="G39" s="175">
        <f t="shared" si="6"/>
        <v>0.3145271832361608</v>
      </c>
      <c r="H39" s="167">
        <f>'Operating Exp'!B25</f>
        <v>268.44444444444446</v>
      </c>
      <c r="I39" s="167">
        <f>'Operating Exp'!C25</f>
        <v>268.44444444444446</v>
      </c>
      <c r="J39" s="167">
        <f>'Operating Exp'!D25</f>
        <v>268.44444444444446</v>
      </c>
      <c r="K39" s="167">
        <f>'Operating Exp'!E25</f>
        <v>268.44444444444446</v>
      </c>
      <c r="L39" s="167">
        <f>'Operating Exp'!F25</f>
        <v>268.44444444444446</v>
      </c>
      <c r="M39" s="167">
        <f>'Operating Exp'!G25</f>
        <v>268.44444444444446</v>
      </c>
      <c r="N39" s="167">
        <f>'Operating Exp'!H25</f>
        <v>268.44444444444446</v>
      </c>
      <c r="O39" s="167">
        <f>'Operating Exp'!I25</f>
        <v>268.44444444444446</v>
      </c>
      <c r="P39" s="167">
        <f>'Operating Exp'!J25</f>
        <v>268.44444444444446</v>
      </c>
      <c r="Q39" s="167">
        <f>'Operating Exp'!K25</f>
        <v>268.44444444444446</v>
      </c>
      <c r="R39" s="167">
        <f>'Operating Exp'!L25</f>
        <v>268.44444444444446</v>
      </c>
      <c r="S39" s="167">
        <f>'Operating Exp'!M25</f>
        <v>268.44444444444446</v>
      </c>
      <c r="T39" s="167">
        <f t="shared" si="7"/>
        <v>3221.3333333333326</v>
      </c>
      <c r="U39" s="175">
        <f t="shared" si="8"/>
        <v>0.15875469818381105</v>
      </c>
    </row>
    <row r="40" spans="1:21">
      <c r="A40" s="176" t="s">
        <v>123</v>
      </c>
      <c r="B40" s="167">
        <v>84093</v>
      </c>
      <c r="C40" s="175">
        <f t="shared" si="4"/>
        <v>8.0491334735907092</v>
      </c>
      <c r="D40" s="167">
        <v>0</v>
      </c>
      <c r="E40" s="175">
        <f t="shared" si="5"/>
        <v>0</v>
      </c>
      <c r="F40" s="167">
        <v>74594</v>
      </c>
      <c r="G40" s="175">
        <f t="shared" si="6"/>
        <v>4.0817398584408799</v>
      </c>
      <c r="H40" s="328">
        <f>'Operating Exp'!B26</f>
        <v>5000</v>
      </c>
      <c r="I40" s="328">
        <f>'Operating Exp'!C26</f>
        <v>5000</v>
      </c>
      <c r="J40" s="328">
        <f>'Operating Exp'!D26</f>
        <v>5000</v>
      </c>
      <c r="K40" s="328">
        <f>'Operating Exp'!E26</f>
        <v>5000</v>
      </c>
      <c r="L40" s="328">
        <f>'Operating Exp'!F26</f>
        <v>5000</v>
      </c>
      <c r="M40" s="328">
        <f>'Operating Exp'!G26</f>
        <v>5000</v>
      </c>
      <c r="N40" s="328">
        <f>'Operating Exp'!H26</f>
        <v>5000</v>
      </c>
      <c r="O40" s="328">
        <f>'Operating Exp'!I26</f>
        <v>5000</v>
      </c>
      <c r="P40" s="328">
        <f>'Operating Exp'!J26</f>
        <v>5000</v>
      </c>
      <c r="Q40" s="328">
        <f>'Operating Exp'!K26</f>
        <v>5000</v>
      </c>
      <c r="R40" s="328">
        <f>'Operating Exp'!L26</f>
        <v>5000</v>
      </c>
      <c r="S40" s="328">
        <f>'Operating Exp'!M26</f>
        <v>5000</v>
      </c>
      <c r="T40" s="328">
        <f t="shared" si="7"/>
        <v>60000</v>
      </c>
      <c r="U40" s="175">
        <f t="shared" si="8"/>
        <v>2.9569376731256205</v>
      </c>
    </row>
    <row r="41" spans="1:21">
      <c r="A41" s="176" t="s">
        <v>105</v>
      </c>
      <c r="B41" s="167">
        <v>6773</v>
      </c>
      <c r="C41" s="175">
        <f t="shared" si="4"/>
        <v>0.64829154646201081</v>
      </c>
      <c r="D41" s="167">
        <v>0</v>
      </c>
      <c r="E41" s="175">
        <f t="shared" si="5"/>
        <v>0</v>
      </c>
      <c r="F41" s="167">
        <v>10033</v>
      </c>
      <c r="G41" s="175">
        <f t="shared" si="6"/>
        <v>0.54899986593743932</v>
      </c>
      <c r="H41" s="328">
        <f>'Operating Exp'!B27</f>
        <v>416.66666666666669</v>
      </c>
      <c r="I41" s="328">
        <f>'Operating Exp'!C27</f>
        <v>416.66666666666669</v>
      </c>
      <c r="J41" s="328">
        <f>'Operating Exp'!D27</f>
        <v>416.66666666666669</v>
      </c>
      <c r="K41" s="328">
        <f>'Operating Exp'!E27</f>
        <v>416.66666666666669</v>
      </c>
      <c r="L41" s="328">
        <f>'Operating Exp'!F27</f>
        <v>416.66666666666669</v>
      </c>
      <c r="M41" s="328">
        <f>'Operating Exp'!G27</f>
        <v>416.66666666666669</v>
      </c>
      <c r="N41" s="328">
        <f>'Operating Exp'!H27</f>
        <v>416.66666666666669</v>
      </c>
      <c r="O41" s="328">
        <f>'Operating Exp'!I27</f>
        <v>416.66666666666669</v>
      </c>
      <c r="P41" s="328">
        <f>'Operating Exp'!J27</f>
        <v>416.66666666666669</v>
      </c>
      <c r="Q41" s="328">
        <f>'Operating Exp'!K27</f>
        <v>416.66666666666669</v>
      </c>
      <c r="R41" s="328">
        <f>'Operating Exp'!L27</f>
        <v>416.66666666666669</v>
      </c>
      <c r="S41" s="328">
        <f>'Operating Exp'!M27</f>
        <v>416.66666666666669</v>
      </c>
      <c r="T41" s="328">
        <f t="shared" si="7"/>
        <v>5000</v>
      </c>
      <c r="U41" s="175">
        <f t="shared" si="8"/>
        <v>0.24641147276046838</v>
      </c>
    </row>
    <row r="42" spans="1:21">
      <c r="A42" s="176" t="s">
        <v>106</v>
      </c>
      <c r="B42" s="167">
        <v>17960</v>
      </c>
      <c r="C42" s="175">
        <f t="shared" si="4"/>
        <v>1.7190781299952334</v>
      </c>
      <c r="D42" s="167">
        <v>186000</v>
      </c>
      <c r="E42" s="175">
        <f t="shared" si="5"/>
        <v>7.3346118145340338</v>
      </c>
      <c r="F42" s="167">
        <v>10821</v>
      </c>
      <c r="G42" s="175">
        <f t="shared" si="6"/>
        <v>0.59211876301296029</v>
      </c>
      <c r="H42" s="328">
        <f>'Operating Exp'!B28</f>
        <v>2416.6666666666665</v>
      </c>
      <c r="I42" s="328">
        <f>'Operating Exp'!C28</f>
        <v>2416.6666666666665</v>
      </c>
      <c r="J42" s="328">
        <f>'Operating Exp'!D28</f>
        <v>2416.6666666666665</v>
      </c>
      <c r="K42" s="328">
        <f>'Operating Exp'!E28</f>
        <v>2416.6666666666665</v>
      </c>
      <c r="L42" s="328">
        <f>'Operating Exp'!F28</f>
        <v>2416.6666666666665</v>
      </c>
      <c r="M42" s="328">
        <f>'Operating Exp'!G28</f>
        <v>2416.6666666666665</v>
      </c>
      <c r="N42" s="328">
        <f>'Operating Exp'!H28</f>
        <v>2416.6666666666665</v>
      </c>
      <c r="O42" s="328">
        <f>'Operating Exp'!I28</f>
        <v>2416.6666666666665</v>
      </c>
      <c r="P42" s="328">
        <f>'Operating Exp'!J28</f>
        <v>2416.6666666666665</v>
      </c>
      <c r="Q42" s="328">
        <f>'Operating Exp'!K28</f>
        <v>2416.6666666666665</v>
      </c>
      <c r="R42" s="328">
        <f>'Operating Exp'!L28</f>
        <v>2416.6666666666665</v>
      </c>
      <c r="S42" s="328">
        <f>'Operating Exp'!M28</f>
        <v>2416.6666666666665</v>
      </c>
      <c r="T42" s="328">
        <f t="shared" si="7"/>
        <v>29000.000000000004</v>
      </c>
      <c r="U42" s="175">
        <f t="shared" si="8"/>
        <v>1.4291865420107168</v>
      </c>
    </row>
    <row r="43" spans="1:21">
      <c r="A43" s="176" t="s">
        <v>107</v>
      </c>
      <c r="B43" s="167">
        <v>2972</v>
      </c>
      <c r="C43" s="175">
        <f t="shared" si="4"/>
        <v>0.28447105803707312</v>
      </c>
      <c r="D43" s="167">
        <v>0</v>
      </c>
      <c r="E43" s="175">
        <f t="shared" si="5"/>
        <v>0</v>
      </c>
      <c r="F43" s="167">
        <v>3600</v>
      </c>
      <c r="G43" s="175">
        <f t="shared" si="6"/>
        <v>0.19698988511659341</v>
      </c>
      <c r="H43" s="328">
        <f>'Operating Exp'!B29</f>
        <v>166.66666666666666</v>
      </c>
      <c r="I43" s="328">
        <f>'Operating Exp'!C29</f>
        <v>166.66666666666666</v>
      </c>
      <c r="J43" s="328">
        <f>'Operating Exp'!D29</f>
        <v>166.66666666666666</v>
      </c>
      <c r="K43" s="328">
        <f>'Operating Exp'!E29</f>
        <v>166.66666666666666</v>
      </c>
      <c r="L43" s="328">
        <f>'Operating Exp'!F29</f>
        <v>166.66666666666666</v>
      </c>
      <c r="M43" s="328">
        <f>'Operating Exp'!G29</f>
        <v>166.66666666666666</v>
      </c>
      <c r="N43" s="328">
        <f>'Operating Exp'!H29</f>
        <v>166.66666666666666</v>
      </c>
      <c r="O43" s="328">
        <f>'Operating Exp'!I29</f>
        <v>166.66666666666666</v>
      </c>
      <c r="P43" s="328">
        <f>'Operating Exp'!J29</f>
        <v>166.66666666666666</v>
      </c>
      <c r="Q43" s="328">
        <f>'Operating Exp'!K29</f>
        <v>166.66666666666666</v>
      </c>
      <c r="R43" s="328">
        <f>'Operating Exp'!L29</f>
        <v>166.66666666666666</v>
      </c>
      <c r="S43" s="328">
        <f>'Operating Exp'!M29</f>
        <v>166.66666666666666</v>
      </c>
      <c r="T43" s="328">
        <f t="shared" si="7"/>
        <v>2000.0000000000002</v>
      </c>
      <c r="U43" s="175">
        <f t="shared" si="8"/>
        <v>9.8564589104187361E-2</v>
      </c>
    </row>
    <row r="44" spans="1:21">
      <c r="A44" s="176" t="s">
        <v>25</v>
      </c>
      <c r="B44" s="167">
        <v>724</v>
      </c>
      <c r="C44" s="175">
        <f t="shared" si="4"/>
        <v>6.9299140652369084E-2</v>
      </c>
      <c r="D44" s="167">
        <v>724.00000000000011</v>
      </c>
      <c r="E44" s="175">
        <f t="shared" si="5"/>
        <v>2.8549779321089472E-2</v>
      </c>
      <c r="F44" s="167">
        <v>119</v>
      </c>
      <c r="G44" s="175">
        <f t="shared" si="6"/>
        <v>6.511610091354059E-3</v>
      </c>
      <c r="H44" s="167">
        <f>'Operating Exp'!B30</f>
        <v>30.583333333333332</v>
      </c>
      <c r="I44" s="167">
        <f>'Operating Exp'!C30</f>
        <v>30.583333333333332</v>
      </c>
      <c r="J44" s="167">
        <f>'Operating Exp'!D30</f>
        <v>30.583333333333332</v>
      </c>
      <c r="K44" s="167">
        <f>'Operating Exp'!E30</f>
        <v>30.583333333333332</v>
      </c>
      <c r="L44" s="167">
        <f>'Operating Exp'!F30</f>
        <v>30.583333333333332</v>
      </c>
      <c r="M44" s="167">
        <f>'Operating Exp'!G30</f>
        <v>30.583333333333332</v>
      </c>
      <c r="N44" s="167">
        <f>'Operating Exp'!H30</f>
        <v>30.583333333333332</v>
      </c>
      <c r="O44" s="167">
        <f>'Operating Exp'!I30</f>
        <v>30.583333333333332</v>
      </c>
      <c r="P44" s="167">
        <f>'Operating Exp'!J30</f>
        <v>30.583333333333332</v>
      </c>
      <c r="Q44" s="167">
        <f>'Operating Exp'!K30</f>
        <v>30.583333333333332</v>
      </c>
      <c r="R44" s="167">
        <f>'Operating Exp'!L30</f>
        <v>30.583333333333332</v>
      </c>
      <c r="S44" s="167">
        <f>'Operating Exp'!M30</f>
        <v>30.583333333333332</v>
      </c>
      <c r="T44" s="167">
        <f t="shared" si="7"/>
        <v>366.99999999999994</v>
      </c>
      <c r="U44" s="175">
        <f t="shared" si="8"/>
        <v>1.8086602100618375E-2</v>
      </c>
    </row>
    <row r="45" spans="1:21">
      <c r="A45" s="176" t="s">
        <v>21</v>
      </c>
      <c r="B45" s="167">
        <v>1170</v>
      </c>
      <c r="C45" s="175">
        <f t="shared" si="4"/>
        <v>0.11198894276695005</v>
      </c>
      <c r="D45" s="167">
        <v>1170</v>
      </c>
      <c r="E45" s="175">
        <f t="shared" si="5"/>
        <v>4.6137074317230214E-2</v>
      </c>
      <c r="F45" s="167">
        <v>905</v>
      </c>
      <c r="G45" s="175">
        <f t="shared" si="6"/>
        <v>4.952106834181029E-2</v>
      </c>
      <c r="H45" s="167">
        <f>'Operating Exp'!B31</f>
        <v>67.555555555555557</v>
      </c>
      <c r="I45" s="167">
        <f>'Operating Exp'!C31</f>
        <v>67.555555555555557</v>
      </c>
      <c r="J45" s="167">
        <f>'Operating Exp'!D31</f>
        <v>67.555555555555557</v>
      </c>
      <c r="K45" s="167">
        <f>'Operating Exp'!E31</f>
        <v>67.555555555555557</v>
      </c>
      <c r="L45" s="167">
        <f>'Operating Exp'!F31</f>
        <v>67.555555555555557</v>
      </c>
      <c r="M45" s="167">
        <f>'Operating Exp'!G31</f>
        <v>67.555555555555557</v>
      </c>
      <c r="N45" s="167">
        <f>'Operating Exp'!H31</f>
        <v>67.555555555555557</v>
      </c>
      <c r="O45" s="167">
        <f>'Operating Exp'!I31</f>
        <v>67.555555555555557</v>
      </c>
      <c r="P45" s="167">
        <f>'Operating Exp'!J31</f>
        <v>67.555555555555557</v>
      </c>
      <c r="Q45" s="167">
        <f>'Operating Exp'!K31</f>
        <v>67.555555555555557</v>
      </c>
      <c r="R45" s="167">
        <f>'Operating Exp'!L31</f>
        <v>67.555555555555557</v>
      </c>
      <c r="S45" s="167">
        <f>'Operating Exp'!M31</f>
        <v>67.555555555555557</v>
      </c>
      <c r="T45" s="167">
        <f t="shared" si="7"/>
        <v>810.66666666666663</v>
      </c>
      <c r="U45" s="175">
        <f t="shared" si="8"/>
        <v>3.9951513450230604E-2</v>
      </c>
    </row>
    <row r="46" spans="1:21">
      <c r="A46" s="176" t="s">
        <v>343</v>
      </c>
      <c r="B46" s="167">
        <v>31</v>
      </c>
      <c r="C46" s="175">
        <f t="shared" si="4"/>
        <v>2.9672283980986766E-3</v>
      </c>
      <c r="D46" s="167">
        <v>0</v>
      </c>
      <c r="E46" s="175">
        <f t="shared" si="5"/>
        <v>0</v>
      </c>
      <c r="F46" s="167">
        <v>617</v>
      </c>
      <c r="G46" s="175">
        <f t="shared" si="6"/>
        <v>3.376187753248281E-2</v>
      </c>
      <c r="H46" s="167">
        <f>'Operating Exp'!B32</f>
        <v>0</v>
      </c>
      <c r="I46" s="167">
        <f>'Operating Exp'!C32</f>
        <v>0</v>
      </c>
      <c r="J46" s="167">
        <f>'Operating Exp'!D32</f>
        <v>0</v>
      </c>
      <c r="K46" s="167">
        <f>'Operating Exp'!E32</f>
        <v>0</v>
      </c>
      <c r="L46" s="167">
        <f>'Operating Exp'!F32</f>
        <v>0</v>
      </c>
      <c r="M46" s="167">
        <f>'Operating Exp'!G32</f>
        <v>0</v>
      </c>
      <c r="N46" s="167">
        <f>'Operating Exp'!H32</f>
        <v>0</v>
      </c>
      <c r="O46" s="167">
        <f>'Operating Exp'!I32</f>
        <v>0</v>
      </c>
      <c r="P46" s="167">
        <f>'Operating Exp'!J32</f>
        <v>0</v>
      </c>
      <c r="Q46" s="167">
        <f>'Operating Exp'!K32</f>
        <v>0</v>
      </c>
      <c r="R46" s="167">
        <f>'Operating Exp'!L32</f>
        <v>0</v>
      </c>
      <c r="S46" s="167">
        <f>'Operating Exp'!M32</f>
        <v>0</v>
      </c>
      <c r="T46" s="167">
        <f t="shared" si="7"/>
        <v>0</v>
      </c>
      <c r="U46" s="175">
        <f t="shared" si="8"/>
        <v>0</v>
      </c>
    </row>
    <row r="47" spans="1:21">
      <c r="A47" s="176" t="s">
        <v>20</v>
      </c>
      <c r="B47" s="167">
        <v>3588</v>
      </c>
      <c r="C47" s="175">
        <f t="shared" si="4"/>
        <v>0.34343275781864685</v>
      </c>
      <c r="D47" s="167">
        <v>11200.000000000002</v>
      </c>
      <c r="E47" s="175">
        <f t="shared" si="5"/>
        <v>0.44165404474613545</v>
      </c>
      <c r="F47" s="167">
        <v>6373</v>
      </c>
      <c r="G47" s="175">
        <f t="shared" si="6"/>
        <v>0.34872681606890266</v>
      </c>
      <c r="H47" s="167">
        <f>'Operating Exp'!B33</f>
        <v>916.66666666666663</v>
      </c>
      <c r="I47" s="167">
        <f>'Operating Exp'!C33</f>
        <v>916.66666666666663</v>
      </c>
      <c r="J47" s="167">
        <f>'Operating Exp'!D33</f>
        <v>916.66666666666663</v>
      </c>
      <c r="K47" s="167">
        <f>'Operating Exp'!E33</f>
        <v>916.66666666666663</v>
      </c>
      <c r="L47" s="167">
        <f>'Operating Exp'!F33</f>
        <v>916.66666666666663</v>
      </c>
      <c r="M47" s="167">
        <f>'Operating Exp'!G33</f>
        <v>916.66666666666663</v>
      </c>
      <c r="N47" s="167">
        <f>'Operating Exp'!H33</f>
        <v>916.66666666666663</v>
      </c>
      <c r="O47" s="167">
        <f>'Operating Exp'!I33</f>
        <v>916.66666666666663</v>
      </c>
      <c r="P47" s="167">
        <f>'Operating Exp'!J33</f>
        <v>916.66666666666663</v>
      </c>
      <c r="Q47" s="167">
        <f>'Operating Exp'!K33</f>
        <v>916.66666666666663</v>
      </c>
      <c r="R47" s="167">
        <f>'Operating Exp'!L33</f>
        <v>916.66666666666663</v>
      </c>
      <c r="S47" s="167">
        <f>'Operating Exp'!M33</f>
        <v>916.66666666666663</v>
      </c>
      <c r="T47" s="167">
        <f t="shared" si="7"/>
        <v>10999.999999999998</v>
      </c>
      <c r="U47" s="175">
        <f t="shared" si="8"/>
        <v>0.54210524007303029</v>
      </c>
    </row>
    <row r="48" spans="1:21">
      <c r="A48" s="176" t="s">
        <v>164</v>
      </c>
      <c r="B48" s="167">
        <v>56713</v>
      </c>
      <c r="C48" s="175">
        <f t="shared" si="4"/>
        <v>5.4284007787538791</v>
      </c>
      <c r="D48" s="167">
        <v>0</v>
      </c>
      <c r="E48" s="175">
        <f t="shared" si="5"/>
        <v>0</v>
      </c>
      <c r="F48" s="167">
        <v>48078</v>
      </c>
      <c r="G48" s="175">
        <f t="shared" si="6"/>
        <v>2.6307999157321049</v>
      </c>
      <c r="H48" s="328">
        <f>'Operating Exp'!B34</f>
        <v>0</v>
      </c>
      <c r="I48" s="328">
        <f>'Operating Exp'!C34</f>
        <v>0</v>
      </c>
      <c r="J48" s="328">
        <f>'Operating Exp'!D34</f>
        <v>0</v>
      </c>
      <c r="K48" s="328">
        <f>'Operating Exp'!E34</f>
        <v>0</v>
      </c>
      <c r="L48" s="328">
        <f>'Operating Exp'!F34</f>
        <v>0</v>
      </c>
      <c r="M48" s="328">
        <f>'Operating Exp'!G34</f>
        <v>0</v>
      </c>
      <c r="N48" s="328">
        <f>'Operating Exp'!H34</f>
        <v>0</v>
      </c>
      <c r="O48" s="328">
        <f>'Operating Exp'!I34</f>
        <v>0</v>
      </c>
      <c r="P48" s="328">
        <f>'Operating Exp'!J34</f>
        <v>0</v>
      </c>
      <c r="Q48" s="328">
        <f>'Operating Exp'!K34</f>
        <v>0</v>
      </c>
      <c r="R48" s="328">
        <f>'Operating Exp'!L34</f>
        <v>0</v>
      </c>
      <c r="S48" s="328">
        <f>'Operating Exp'!M34</f>
        <v>0</v>
      </c>
      <c r="T48" s="328">
        <f t="shared" si="7"/>
        <v>0</v>
      </c>
      <c r="U48" s="175">
        <f t="shared" si="8"/>
        <v>0</v>
      </c>
    </row>
    <row r="49" spans="1:21">
      <c r="A49" s="176" t="s">
        <v>99</v>
      </c>
      <c r="B49" s="167">
        <v>34713</v>
      </c>
      <c r="C49" s="175">
        <f t="shared" si="4"/>
        <v>3.3226257865548185</v>
      </c>
      <c r="D49" s="167">
        <v>118800</v>
      </c>
      <c r="E49" s="175">
        <f t="shared" si="5"/>
        <v>4.6846875460572219</v>
      </c>
      <c r="F49" s="167">
        <v>114358</v>
      </c>
      <c r="G49" s="175">
        <f t="shared" si="6"/>
        <v>6.2576025783787177</v>
      </c>
      <c r="H49" s="328">
        <f>'Operating Exp'!B35</f>
        <v>9900</v>
      </c>
      <c r="I49" s="328">
        <f>'Operating Exp'!C35</f>
        <v>9900</v>
      </c>
      <c r="J49" s="328">
        <f>'Operating Exp'!D35</f>
        <v>9900</v>
      </c>
      <c r="K49" s="328">
        <f>'Operating Exp'!E35</f>
        <v>9900</v>
      </c>
      <c r="L49" s="328">
        <f>'Operating Exp'!F35</f>
        <v>9900</v>
      </c>
      <c r="M49" s="328">
        <f>'Operating Exp'!G35</f>
        <v>9900</v>
      </c>
      <c r="N49" s="328">
        <f>'Operating Exp'!H35</f>
        <v>9900</v>
      </c>
      <c r="O49" s="328">
        <f>'Operating Exp'!I35</f>
        <v>9900</v>
      </c>
      <c r="P49" s="328">
        <f>'Operating Exp'!J35</f>
        <v>9900</v>
      </c>
      <c r="Q49" s="328">
        <f>'Operating Exp'!K35</f>
        <v>9900</v>
      </c>
      <c r="R49" s="328">
        <f>'Operating Exp'!L35</f>
        <v>9900</v>
      </c>
      <c r="S49" s="328">
        <f>'Operating Exp'!M35</f>
        <v>9900</v>
      </c>
      <c r="T49" s="328">
        <f t="shared" si="7"/>
        <v>118800</v>
      </c>
      <c r="U49" s="175">
        <f t="shared" si="8"/>
        <v>5.8547365927887283</v>
      </c>
    </row>
    <row r="50" spans="1:21">
      <c r="A50" s="176" t="s">
        <v>91</v>
      </c>
      <c r="B50" s="167">
        <v>36262</v>
      </c>
      <c r="C50" s="175">
        <f t="shared" si="4"/>
        <v>3.4708914894146523</v>
      </c>
      <c r="D50" s="167">
        <v>51361.100000000006</v>
      </c>
      <c r="E50" s="175">
        <f t="shared" si="5"/>
        <v>2.0253426390723872</v>
      </c>
      <c r="F50" s="167">
        <v>20249</v>
      </c>
      <c r="G50" s="175">
        <f t="shared" si="6"/>
        <v>1.1080133843683055</v>
      </c>
      <c r="H50" s="167">
        <f>'Operating Exp'!B36</f>
        <v>4575.8004358500002</v>
      </c>
      <c r="I50" s="167">
        <f>'Operating Exp'!C36</f>
        <v>4575.8004358500002</v>
      </c>
      <c r="J50" s="167">
        <f>'Operating Exp'!D36</f>
        <v>4575.8004358500002</v>
      </c>
      <c r="K50" s="167">
        <f>'Operating Exp'!E36</f>
        <v>4575.8004358500002</v>
      </c>
      <c r="L50" s="167">
        <f>'Operating Exp'!F36</f>
        <v>4575.8004358500002</v>
      </c>
      <c r="M50" s="167">
        <f>'Operating Exp'!G36</f>
        <v>4575.8004358500002</v>
      </c>
      <c r="N50" s="167">
        <f>'Operating Exp'!H36</f>
        <v>4575.8004358500002</v>
      </c>
      <c r="O50" s="167">
        <f>'Operating Exp'!I36</f>
        <v>4575.8004358500002</v>
      </c>
      <c r="P50" s="167">
        <f>'Operating Exp'!J36</f>
        <v>4575.8004358500002</v>
      </c>
      <c r="Q50" s="167">
        <f>'Operating Exp'!K36</f>
        <v>4575.8004358500002</v>
      </c>
      <c r="R50" s="167">
        <f>'Operating Exp'!L36</f>
        <v>4575.8004358500002</v>
      </c>
      <c r="S50" s="167">
        <f>'Operating Exp'!M36</f>
        <v>4575.8004358500002</v>
      </c>
      <c r="T50" s="167">
        <f t="shared" si="7"/>
        <v>54909.605230200017</v>
      </c>
      <c r="U50" s="175">
        <f t="shared" si="8"/>
        <v>2.706071338693901</v>
      </c>
    </row>
    <row r="51" spans="1:21">
      <c r="A51" s="176" t="s">
        <v>339</v>
      </c>
      <c r="B51" s="167">
        <v>87683</v>
      </c>
      <c r="C51" s="175">
        <f t="shared" si="4"/>
        <v>8.3927576654995555</v>
      </c>
      <c r="D51" s="167">
        <v>95807.692749999987</v>
      </c>
      <c r="E51" s="175">
        <f t="shared" si="5"/>
        <v>3.778022769717186</v>
      </c>
      <c r="F51" s="167">
        <v>33235</v>
      </c>
      <c r="G51" s="175">
        <f t="shared" si="6"/>
        <v>1.8185996755138836</v>
      </c>
      <c r="H51" s="167">
        <f>'Operating Exp'!B37</f>
        <v>3333.3333333333335</v>
      </c>
      <c r="I51" s="167">
        <f>'Operating Exp'!C37</f>
        <v>3333.3333333333335</v>
      </c>
      <c r="J51" s="167">
        <f>'Operating Exp'!D37</f>
        <v>3333.3333333333335</v>
      </c>
      <c r="K51" s="167">
        <f>'Operating Exp'!E37</f>
        <v>3333.3333333333335</v>
      </c>
      <c r="L51" s="167">
        <f>'Operating Exp'!F37</f>
        <v>3333.3333333333335</v>
      </c>
      <c r="M51" s="167">
        <f>'Operating Exp'!G37</f>
        <v>3333.3333333333335</v>
      </c>
      <c r="N51" s="167">
        <f>'Operating Exp'!H37</f>
        <v>3333.3333333333335</v>
      </c>
      <c r="O51" s="167">
        <f>'Operating Exp'!I37</f>
        <v>3333.3333333333335</v>
      </c>
      <c r="P51" s="167">
        <f>'Operating Exp'!J37</f>
        <v>3333.3333333333335</v>
      </c>
      <c r="Q51" s="167">
        <f>'Operating Exp'!K37</f>
        <v>3333.3333333333335</v>
      </c>
      <c r="R51" s="167">
        <f>'Operating Exp'!L37</f>
        <v>3333.3333333333335</v>
      </c>
      <c r="S51" s="167">
        <f>'Operating Exp'!M37</f>
        <v>3333.3333333333335</v>
      </c>
      <c r="T51" s="167">
        <f t="shared" si="7"/>
        <v>40000</v>
      </c>
      <c r="U51" s="175">
        <f t="shared" si="8"/>
        <v>1.971291782083747</v>
      </c>
    </row>
    <row r="52" spans="1:21">
      <c r="A52" s="176" t="s">
        <v>340</v>
      </c>
      <c r="B52" s="167">
        <v>48943</v>
      </c>
      <c r="C52" s="175">
        <f t="shared" si="4"/>
        <v>4.6846793383272107</v>
      </c>
      <c r="D52" s="167">
        <v>0</v>
      </c>
      <c r="E52" s="175">
        <f t="shared" si="5"/>
        <v>0</v>
      </c>
      <c r="F52" s="167">
        <v>1906</v>
      </c>
      <c r="G52" s="175">
        <f t="shared" si="6"/>
        <v>0.10429520028672973</v>
      </c>
      <c r="H52" s="167">
        <f>'Operating Exp'!B38</f>
        <v>0</v>
      </c>
      <c r="I52" s="167">
        <f>'Operating Exp'!C38</f>
        <v>0</v>
      </c>
      <c r="J52" s="167">
        <f>'Operating Exp'!D38</f>
        <v>0</v>
      </c>
      <c r="K52" s="167">
        <f>'Operating Exp'!E38</f>
        <v>0</v>
      </c>
      <c r="L52" s="167">
        <f>'Operating Exp'!F38</f>
        <v>0</v>
      </c>
      <c r="M52" s="167">
        <f>'Operating Exp'!G38</f>
        <v>0</v>
      </c>
      <c r="N52" s="167">
        <f>'Operating Exp'!H38</f>
        <v>0</v>
      </c>
      <c r="O52" s="167">
        <f>'Operating Exp'!I38</f>
        <v>0</v>
      </c>
      <c r="P52" s="167">
        <f>'Operating Exp'!J38</f>
        <v>0</v>
      </c>
      <c r="Q52" s="167">
        <f>'Operating Exp'!K38</f>
        <v>0</v>
      </c>
      <c r="R52" s="167">
        <f>'Operating Exp'!L38</f>
        <v>0</v>
      </c>
      <c r="S52" s="167">
        <f>'Operating Exp'!M38</f>
        <v>0</v>
      </c>
      <c r="T52" s="167">
        <f t="shared" si="7"/>
        <v>0</v>
      </c>
      <c r="U52" s="175">
        <f t="shared" si="8"/>
        <v>0</v>
      </c>
    </row>
    <row r="53" spans="1:21" ht="12.2" customHeight="1">
      <c r="A53" s="176" t="s">
        <v>90</v>
      </c>
      <c r="B53" s="167">
        <v>1757</v>
      </c>
      <c r="C53" s="175">
        <f t="shared" si="4"/>
        <v>0.16817484824062501</v>
      </c>
      <c r="D53" s="167">
        <v>1757.0000000000002</v>
      </c>
      <c r="E53" s="175">
        <f t="shared" si="5"/>
        <v>6.928447826954999E-2</v>
      </c>
      <c r="F53" s="167">
        <v>367</v>
      </c>
      <c r="G53" s="175">
        <f t="shared" si="6"/>
        <v>2.0082024399386049E-2</v>
      </c>
      <c r="H53" s="167">
        <f>'Operating Exp'!B39</f>
        <v>550</v>
      </c>
      <c r="I53" s="167">
        <f>'Operating Exp'!C39</f>
        <v>550</v>
      </c>
      <c r="J53" s="167">
        <f>'Operating Exp'!D39</f>
        <v>550</v>
      </c>
      <c r="K53" s="167">
        <f>'Operating Exp'!E39</f>
        <v>550</v>
      </c>
      <c r="L53" s="167">
        <f>'Operating Exp'!F39</f>
        <v>550</v>
      </c>
      <c r="M53" s="167">
        <f>'Operating Exp'!G39</f>
        <v>550</v>
      </c>
      <c r="N53" s="167">
        <f>'Operating Exp'!H39</f>
        <v>550</v>
      </c>
      <c r="O53" s="167">
        <f>'Operating Exp'!I39</f>
        <v>550</v>
      </c>
      <c r="P53" s="167">
        <f>'Operating Exp'!J39</f>
        <v>550</v>
      </c>
      <c r="Q53" s="167">
        <f>'Operating Exp'!K39</f>
        <v>550</v>
      </c>
      <c r="R53" s="167">
        <f>'Operating Exp'!L39</f>
        <v>550</v>
      </c>
      <c r="S53" s="167">
        <f>'Operating Exp'!M39</f>
        <v>550</v>
      </c>
      <c r="T53" s="167">
        <f t="shared" si="7"/>
        <v>6600</v>
      </c>
      <c r="U53" s="175">
        <f t="shared" si="8"/>
        <v>0.32526314404381829</v>
      </c>
    </row>
    <row r="54" spans="1:21">
      <c r="A54" s="176" t="s">
        <v>132</v>
      </c>
      <c r="B54" s="167">
        <v>286</v>
      </c>
      <c r="C54" s="175">
        <f t="shared" si="4"/>
        <v>2.737507489858779E-2</v>
      </c>
      <c r="D54" s="167">
        <v>0</v>
      </c>
      <c r="E54" s="175">
        <f t="shared" si="5"/>
        <v>0</v>
      </c>
      <c r="F54" s="167">
        <v>2058</v>
      </c>
      <c r="G54" s="175">
        <f t="shared" si="6"/>
        <v>0.11261255099165256</v>
      </c>
      <c r="H54" s="358">
        <f>'Operating Exp'!B40</f>
        <v>67.833333333333329</v>
      </c>
      <c r="I54" s="358">
        <f>'Operating Exp'!C40</f>
        <v>67.833333333333329</v>
      </c>
      <c r="J54" s="358">
        <f>'Operating Exp'!D40</f>
        <v>67.833333333333329</v>
      </c>
      <c r="K54" s="358">
        <f>'Operating Exp'!E40</f>
        <v>67.833333333333329</v>
      </c>
      <c r="L54" s="358">
        <f>'Operating Exp'!F40</f>
        <v>67.833333333333329</v>
      </c>
      <c r="M54" s="358">
        <f>'Operating Exp'!G40</f>
        <v>67.833333333333329</v>
      </c>
      <c r="N54" s="358">
        <f>'Operating Exp'!H40</f>
        <v>67.833333333333329</v>
      </c>
      <c r="O54" s="358">
        <f>'Operating Exp'!I40</f>
        <v>67.833333333333329</v>
      </c>
      <c r="P54" s="358">
        <f>'Operating Exp'!J40</f>
        <v>67.833333333333329</v>
      </c>
      <c r="Q54" s="358">
        <f>'Operating Exp'!K40</f>
        <v>67.833333333333329</v>
      </c>
      <c r="R54" s="358">
        <f>'Operating Exp'!L40</f>
        <v>67.833333333333329</v>
      </c>
      <c r="S54" s="358">
        <f>'Operating Exp'!M40</f>
        <v>67.833333333333329</v>
      </c>
      <c r="T54" s="167">
        <f t="shared" si="7"/>
        <v>814.00000000000011</v>
      </c>
      <c r="U54" s="175">
        <f t="shared" si="8"/>
        <v>4.0115787765404254E-2</v>
      </c>
    </row>
    <row r="55" spans="1:21" ht="13.9" customHeight="1">
      <c r="A55" s="176" t="s">
        <v>92</v>
      </c>
      <c r="B55" s="167">
        <v>1439</v>
      </c>
      <c r="C55" s="175">
        <f t="shared" si="4"/>
        <v>0.13773682789883857</v>
      </c>
      <c r="D55" s="167">
        <v>0</v>
      </c>
      <c r="E55" s="175">
        <f t="shared" si="5"/>
        <v>0</v>
      </c>
      <c r="F55" s="167">
        <v>5910</v>
      </c>
      <c r="G55" s="175">
        <f t="shared" si="6"/>
        <v>0.32339172806640748</v>
      </c>
      <c r="H55" s="358">
        <f>'Operating Exp'!B41</f>
        <v>275.5</v>
      </c>
      <c r="I55" s="358">
        <f>'Operating Exp'!C41</f>
        <v>275.5</v>
      </c>
      <c r="J55" s="358">
        <f>'Operating Exp'!D41</f>
        <v>275.5</v>
      </c>
      <c r="K55" s="358">
        <f>'Operating Exp'!E41</f>
        <v>275.5</v>
      </c>
      <c r="L55" s="358">
        <f>'Operating Exp'!F41</f>
        <v>275.5</v>
      </c>
      <c r="M55" s="358">
        <f>'Operating Exp'!G41</f>
        <v>275.5</v>
      </c>
      <c r="N55" s="358">
        <f>'Operating Exp'!H41</f>
        <v>275.5</v>
      </c>
      <c r="O55" s="358">
        <f>'Operating Exp'!I41</f>
        <v>275.5</v>
      </c>
      <c r="P55" s="358">
        <f>'Operating Exp'!J41</f>
        <v>275.5</v>
      </c>
      <c r="Q55" s="358">
        <f>'Operating Exp'!K41</f>
        <v>275.5</v>
      </c>
      <c r="R55" s="358">
        <f>'Operating Exp'!L41</f>
        <v>275.5</v>
      </c>
      <c r="S55" s="358">
        <f>'Operating Exp'!M41</f>
        <v>275.5</v>
      </c>
      <c r="T55" s="167">
        <f t="shared" si="7"/>
        <v>3306</v>
      </c>
      <c r="U55" s="175">
        <f t="shared" si="8"/>
        <v>0.1629272657892217</v>
      </c>
    </row>
    <row r="56" spans="1:21">
      <c r="A56" s="176" t="s">
        <v>24</v>
      </c>
      <c r="B56" s="167">
        <v>4425</v>
      </c>
      <c r="C56" s="175">
        <f t="shared" si="4"/>
        <v>0.42354792456731105</v>
      </c>
      <c r="D56" s="167">
        <v>0</v>
      </c>
      <c r="E56" s="175">
        <f t="shared" si="5"/>
        <v>0</v>
      </c>
      <c r="F56" s="167">
        <v>201</v>
      </c>
      <c r="G56" s="175">
        <f t="shared" si="6"/>
        <v>1.0998601919009797E-2</v>
      </c>
      <c r="H56" s="358">
        <f>'Operating Exp'!B42</f>
        <v>600</v>
      </c>
      <c r="I56" s="358">
        <f>'Operating Exp'!C42</f>
        <v>600</v>
      </c>
      <c r="J56" s="358">
        <f>'Operating Exp'!D42</f>
        <v>600</v>
      </c>
      <c r="K56" s="358">
        <f>'Operating Exp'!E42</f>
        <v>600</v>
      </c>
      <c r="L56" s="358">
        <f>'Operating Exp'!F42</f>
        <v>600</v>
      </c>
      <c r="M56" s="358">
        <f>'Operating Exp'!G42</f>
        <v>600</v>
      </c>
      <c r="N56" s="358">
        <f>'Operating Exp'!H42</f>
        <v>600</v>
      </c>
      <c r="O56" s="358">
        <f>'Operating Exp'!I42</f>
        <v>600</v>
      </c>
      <c r="P56" s="358">
        <f>'Operating Exp'!J42</f>
        <v>600</v>
      </c>
      <c r="Q56" s="358">
        <f>'Operating Exp'!K42</f>
        <v>600</v>
      </c>
      <c r="R56" s="358">
        <f>'Operating Exp'!L42</f>
        <v>600</v>
      </c>
      <c r="S56" s="358">
        <f>'Operating Exp'!M42</f>
        <v>600</v>
      </c>
      <c r="T56" s="167">
        <f t="shared" si="7"/>
        <v>7200</v>
      </c>
      <c r="U56" s="175">
        <f t="shared" si="8"/>
        <v>0.35483252077507449</v>
      </c>
    </row>
    <row r="57" spans="1:21">
      <c r="A57" s="176" t="s">
        <v>18</v>
      </c>
      <c r="B57" s="167">
        <v>11317</v>
      </c>
      <c r="C57" s="175">
        <f t="shared" si="4"/>
        <v>1.083229799396217</v>
      </c>
      <c r="D57" s="167">
        <v>0</v>
      </c>
      <c r="E57" s="175">
        <f t="shared" si="5"/>
        <v>0</v>
      </c>
      <c r="F57" s="167">
        <v>70</v>
      </c>
      <c r="G57" s="175">
        <f t="shared" si="6"/>
        <v>3.8303588772670939E-3</v>
      </c>
      <c r="H57" s="358">
        <f>'Operating Exp'!B43</f>
        <v>317.08333333333331</v>
      </c>
      <c r="I57" s="358">
        <f>'Operating Exp'!C43</f>
        <v>317.08333333333331</v>
      </c>
      <c r="J57" s="358">
        <f>'Operating Exp'!D43</f>
        <v>317.08333333333331</v>
      </c>
      <c r="K57" s="358">
        <f>'Operating Exp'!E43</f>
        <v>317.08333333333331</v>
      </c>
      <c r="L57" s="358">
        <f>'Operating Exp'!F43</f>
        <v>317.08333333333331</v>
      </c>
      <c r="M57" s="358">
        <f>'Operating Exp'!G43</f>
        <v>317.08333333333331</v>
      </c>
      <c r="N57" s="358">
        <f>'Operating Exp'!H43</f>
        <v>317.08333333333331</v>
      </c>
      <c r="O57" s="358">
        <f>'Operating Exp'!I43</f>
        <v>317.08333333333331</v>
      </c>
      <c r="P57" s="358">
        <f>'Operating Exp'!J43</f>
        <v>317.08333333333331</v>
      </c>
      <c r="Q57" s="358">
        <f>'Operating Exp'!K43</f>
        <v>317.08333333333331</v>
      </c>
      <c r="R57" s="358">
        <f>'Operating Exp'!L43</f>
        <v>317.08333333333331</v>
      </c>
      <c r="S57" s="358">
        <f>'Operating Exp'!M43</f>
        <v>317.08333333333331</v>
      </c>
      <c r="T57" s="167">
        <f t="shared" si="7"/>
        <v>3805.0000000000005</v>
      </c>
      <c r="U57" s="175">
        <f t="shared" si="8"/>
        <v>0.18751913077071647</v>
      </c>
    </row>
    <row r="58" spans="1:21">
      <c r="A58" s="176" t="s">
        <v>108</v>
      </c>
      <c r="B58" s="167">
        <v>369009</v>
      </c>
      <c r="C58" s="175">
        <f t="shared" si="4"/>
        <v>35.320451095290146</v>
      </c>
      <c r="D58" s="167">
        <v>276996</v>
      </c>
      <c r="E58" s="175">
        <f t="shared" si="5"/>
        <v>10.922893194508974</v>
      </c>
      <c r="F58" s="167">
        <v>278036</v>
      </c>
      <c r="G58" s="175">
        <f t="shared" si="6"/>
        <v>15.213966582854766</v>
      </c>
      <c r="H58" s="167">
        <f>'Operating Exp'!B44</f>
        <v>17250</v>
      </c>
      <c r="I58" s="167">
        <f>'Operating Exp'!C44</f>
        <v>17250</v>
      </c>
      <c r="J58" s="167">
        <f>'Operating Exp'!D44</f>
        <v>17250</v>
      </c>
      <c r="K58" s="167">
        <f>'Operating Exp'!E44</f>
        <v>17250</v>
      </c>
      <c r="L58" s="167">
        <f>'Operating Exp'!F44</f>
        <v>17250</v>
      </c>
      <c r="M58" s="167">
        <f>'Operating Exp'!G44</f>
        <v>17250</v>
      </c>
      <c r="N58" s="167">
        <f>'Operating Exp'!H44</f>
        <v>17250</v>
      </c>
      <c r="O58" s="167">
        <f>'Operating Exp'!I44</f>
        <v>17250</v>
      </c>
      <c r="P58" s="167">
        <f>'Operating Exp'!J44</f>
        <v>17250</v>
      </c>
      <c r="Q58" s="167">
        <f>'Operating Exp'!K44</f>
        <v>17250</v>
      </c>
      <c r="R58" s="167">
        <f>'Operating Exp'!L44</f>
        <v>17250</v>
      </c>
      <c r="S58" s="167">
        <f>'Operating Exp'!M44</f>
        <v>17250</v>
      </c>
      <c r="T58" s="167">
        <f t="shared" si="7"/>
        <v>207000</v>
      </c>
      <c r="U58" s="175">
        <f t="shared" si="8"/>
        <v>10.201434972283391</v>
      </c>
    </row>
    <row r="59" spans="1:21">
      <c r="A59" s="174" t="s">
        <v>26</v>
      </c>
      <c r="B59" s="182">
        <f>SUM(B22:B58)</f>
        <v>1084600</v>
      </c>
      <c r="C59" s="175">
        <f>B59/$B$7*100</f>
        <v>103.8147071154137</v>
      </c>
      <c r="D59" s="182">
        <f>SUM(D22:D58)</f>
        <v>1343826.1964660888</v>
      </c>
      <c r="E59" s="175">
        <f>D59/$D$7*100</f>
        <v>52.991631705809183</v>
      </c>
      <c r="F59" s="182">
        <f>SUM(F22:F58)</f>
        <v>1129514</v>
      </c>
      <c r="G59" s="175">
        <f t="shared" si="6"/>
        <v>61.806342527106629</v>
      </c>
      <c r="H59" s="182">
        <f t="shared" ref="H59:T59" si="9">SUM(H22:H58)</f>
        <v>92497.016832747424</v>
      </c>
      <c r="I59" s="182">
        <f t="shared" si="9"/>
        <v>92497.016832747424</v>
      </c>
      <c r="J59" s="182">
        <f t="shared" si="9"/>
        <v>92497.016832747424</v>
      </c>
      <c r="K59" s="182">
        <f t="shared" si="9"/>
        <v>92497.016832747424</v>
      </c>
      <c r="L59" s="182">
        <f t="shared" si="9"/>
        <v>92497.016832747424</v>
      </c>
      <c r="M59" s="182">
        <f t="shared" si="9"/>
        <v>92497.016832747424</v>
      </c>
      <c r="N59" s="182">
        <f t="shared" si="9"/>
        <v>92497.016832747424</v>
      </c>
      <c r="O59" s="182">
        <f t="shared" si="9"/>
        <v>92497.016832747424</v>
      </c>
      <c r="P59" s="182">
        <f t="shared" si="9"/>
        <v>92497.016832747424</v>
      </c>
      <c r="Q59" s="182">
        <f t="shared" si="9"/>
        <v>92497.016832747424</v>
      </c>
      <c r="R59" s="182">
        <f t="shared" si="9"/>
        <v>92497.016832747424</v>
      </c>
      <c r="S59" s="182">
        <f t="shared" si="9"/>
        <v>92497.016832747424</v>
      </c>
      <c r="T59" s="182">
        <f t="shared" si="9"/>
        <v>1109964.201992969</v>
      </c>
      <c r="U59" s="175">
        <f t="shared" si="8"/>
        <v>54.701582744897102</v>
      </c>
    </row>
    <row r="60" spans="1:21">
      <c r="A60" s="174"/>
      <c r="B60" s="167"/>
      <c r="C60" s="175"/>
      <c r="D60" s="167"/>
      <c r="E60" s="175"/>
      <c r="F60" s="167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</row>
    <row r="61" spans="1:21">
      <c r="A61" s="176" t="s">
        <v>93</v>
      </c>
      <c r="B61" s="167">
        <f>B18-B59</f>
        <v>-621114</v>
      </c>
      <c r="C61" s="175">
        <f>B61/$B$7*100</f>
        <v>-59.451196750214883</v>
      </c>
      <c r="D61" s="167">
        <f>D18-D59</f>
        <v>215414.2047500005</v>
      </c>
      <c r="E61" s="175">
        <f>D61/$D$7*100</f>
        <v>8.4945138235365985</v>
      </c>
      <c r="F61" s="167">
        <f>F18-F59</f>
        <v>-430562</v>
      </c>
      <c r="G61" s="175">
        <f t="shared" si="6"/>
        <v>-23.560099698769633</v>
      </c>
      <c r="H61" s="167">
        <f t="shared" ref="H61:T61" si="10">H18-H59</f>
        <v>11616.54644618505</v>
      </c>
      <c r="I61" s="167">
        <f t="shared" si="10"/>
        <v>11616.54644618505</v>
      </c>
      <c r="J61" s="167">
        <f t="shared" si="10"/>
        <v>11616.54644618505</v>
      </c>
      <c r="K61" s="167">
        <f t="shared" si="10"/>
        <v>11616.54644618505</v>
      </c>
      <c r="L61" s="167">
        <f t="shared" si="10"/>
        <v>11616.54644618505</v>
      </c>
      <c r="M61" s="167">
        <f t="shared" si="10"/>
        <v>11616.54644618505</v>
      </c>
      <c r="N61" s="167">
        <f t="shared" si="10"/>
        <v>11616.54644618505</v>
      </c>
      <c r="O61" s="167">
        <f t="shared" si="10"/>
        <v>11616.54644618505</v>
      </c>
      <c r="P61" s="167">
        <f t="shared" si="10"/>
        <v>11616.54644618505</v>
      </c>
      <c r="Q61" s="167">
        <f t="shared" si="10"/>
        <v>11616.54644618505</v>
      </c>
      <c r="R61" s="167">
        <f t="shared" si="10"/>
        <v>11616.54644618505</v>
      </c>
      <c r="S61" s="167">
        <f t="shared" si="10"/>
        <v>11616.54644618505</v>
      </c>
      <c r="T61" s="167">
        <f t="shared" si="10"/>
        <v>139398.55735422112</v>
      </c>
      <c r="U61" s="175">
        <f t="shared" si="8"/>
        <v>6.8698807636676493</v>
      </c>
    </row>
    <row r="62" spans="1:21">
      <c r="A62" s="174"/>
      <c r="B62" s="167" t="s">
        <v>10</v>
      </c>
      <c r="C62" s="175"/>
      <c r="D62" s="167" t="s">
        <v>10</v>
      </c>
      <c r="E62" s="175"/>
      <c r="F62" s="167" t="s">
        <v>10</v>
      </c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</row>
    <row r="63" spans="1:21">
      <c r="A63" s="174" t="s">
        <v>94</v>
      </c>
      <c r="B63" s="167"/>
      <c r="C63" s="175"/>
      <c r="D63" s="167"/>
      <c r="E63" s="175"/>
      <c r="F63" s="167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</row>
    <row r="64" spans="1:21">
      <c r="A64" s="176" t="s">
        <v>22</v>
      </c>
      <c r="B64" s="167">
        <v>0</v>
      </c>
      <c r="C64" s="175">
        <f>B64/$B$7*100</f>
        <v>0</v>
      </c>
      <c r="D64" s="167">
        <v>0</v>
      </c>
      <c r="E64" s="175">
        <f>D64/$D$7*100</f>
        <v>0</v>
      </c>
      <c r="F64" s="167">
        <v>0</v>
      </c>
      <c r="G64" s="175">
        <f t="shared" ref="G64:G67" si="11">F64/$F$7*100</f>
        <v>0</v>
      </c>
      <c r="H64" s="167">
        <v>0</v>
      </c>
      <c r="I64" s="167">
        <v>0</v>
      </c>
      <c r="J64" s="167">
        <v>0</v>
      </c>
      <c r="K64" s="167">
        <v>0</v>
      </c>
      <c r="L64" s="167">
        <v>0</v>
      </c>
      <c r="M64" s="167">
        <v>0</v>
      </c>
      <c r="N64" s="167">
        <v>0</v>
      </c>
      <c r="O64" s="167">
        <v>0</v>
      </c>
      <c r="P64" s="167">
        <v>0</v>
      </c>
      <c r="Q64" s="167">
        <v>0</v>
      </c>
      <c r="R64" s="167">
        <v>0</v>
      </c>
      <c r="S64" s="167">
        <v>0</v>
      </c>
      <c r="T64" s="167">
        <f>SUM(H64:S64)</f>
        <v>0</v>
      </c>
      <c r="U64" s="175">
        <f t="shared" ref="U64:U73" si="12">T64/$T$7*100</f>
        <v>0</v>
      </c>
    </row>
    <row r="65" spans="1:23">
      <c r="A65" s="176" t="s">
        <v>23</v>
      </c>
      <c r="B65" s="167">
        <v>53840</v>
      </c>
      <c r="C65" s="175">
        <f>B65/$B$7*100</f>
        <v>5.1534057081817011</v>
      </c>
      <c r="D65" s="167">
        <v>0</v>
      </c>
      <c r="E65" s="175">
        <f>D65/$D$7*100</f>
        <v>0</v>
      </c>
      <c r="F65" s="167">
        <v>56492</v>
      </c>
      <c r="G65" s="175">
        <f t="shared" si="11"/>
        <v>3.0912090527796097</v>
      </c>
      <c r="H65" s="167">
        <f>+'Corp OH Alloc &amp; Interest Exp'!$C$5/12</f>
        <v>0</v>
      </c>
      <c r="I65" s="167">
        <f>+'Corp OH Alloc &amp; Interest Exp'!$C$5/12</f>
        <v>0</v>
      </c>
      <c r="J65" s="167">
        <f>+'Corp OH Alloc &amp; Interest Exp'!$C$5/12</f>
        <v>0</v>
      </c>
      <c r="K65" s="167">
        <f>+'Corp OH Alloc &amp; Interest Exp'!$C$5/12</f>
        <v>0</v>
      </c>
      <c r="L65" s="167">
        <f>+'Corp OH Alloc &amp; Interest Exp'!$C$5/12</f>
        <v>0</v>
      </c>
      <c r="M65" s="167">
        <f>+'Corp OH Alloc &amp; Interest Exp'!$C$5/12</f>
        <v>0</v>
      </c>
      <c r="N65" s="167">
        <f>+'Corp OH Alloc &amp; Interest Exp'!$C$5/12</f>
        <v>0</v>
      </c>
      <c r="O65" s="167">
        <f>+'Corp OH Alloc &amp; Interest Exp'!$C$5/12</f>
        <v>0</v>
      </c>
      <c r="P65" s="167">
        <f>+'Corp OH Alloc &amp; Interest Exp'!$C$5/12</f>
        <v>0</v>
      </c>
      <c r="Q65" s="167">
        <f>+'Corp OH Alloc &amp; Interest Exp'!$C$5/12</f>
        <v>0</v>
      </c>
      <c r="R65" s="167">
        <f>+'Corp OH Alloc &amp; Interest Exp'!$C$5/12</f>
        <v>0</v>
      </c>
      <c r="S65" s="167">
        <f>+'Corp OH Alloc &amp; Interest Exp'!$C$5/12</f>
        <v>0</v>
      </c>
      <c r="T65" s="167">
        <f>SUM(H65:S65)</f>
        <v>0</v>
      </c>
      <c r="U65" s="175">
        <f t="shared" si="12"/>
        <v>0</v>
      </c>
    </row>
    <row r="66" spans="1:23">
      <c r="A66" s="176" t="s">
        <v>95</v>
      </c>
      <c r="B66" s="167">
        <v>0</v>
      </c>
      <c r="C66" s="175">
        <f>B66/$B$7*100</f>
        <v>0</v>
      </c>
      <c r="D66" s="167">
        <v>0</v>
      </c>
      <c r="E66" s="175">
        <f>D66/$D$7*100</f>
        <v>0</v>
      </c>
      <c r="F66" s="167">
        <v>0</v>
      </c>
      <c r="G66" s="175">
        <f t="shared" si="11"/>
        <v>0</v>
      </c>
      <c r="H66" s="167">
        <v>0</v>
      </c>
      <c r="I66" s="167">
        <v>0</v>
      </c>
      <c r="J66" s="167">
        <v>0</v>
      </c>
      <c r="K66" s="167">
        <v>0</v>
      </c>
      <c r="L66" s="167">
        <v>0</v>
      </c>
      <c r="M66" s="167">
        <v>0</v>
      </c>
      <c r="N66" s="167">
        <v>0</v>
      </c>
      <c r="O66" s="167">
        <v>0</v>
      </c>
      <c r="P66" s="167">
        <v>0</v>
      </c>
      <c r="Q66" s="167">
        <v>0</v>
      </c>
      <c r="R66" s="167">
        <v>0</v>
      </c>
      <c r="S66" s="167">
        <v>0</v>
      </c>
      <c r="T66" s="167">
        <f>SUM(H66:S66)</f>
        <v>0</v>
      </c>
      <c r="U66" s="175">
        <f t="shared" si="12"/>
        <v>0</v>
      </c>
    </row>
    <row r="67" spans="1:23">
      <c r="A67" s="176" t="s">
        <v>96</v>
      </c>
      <c r="B67" s="182">
        <f>SUM(B64:B66)</f>
        <v>53840</v>
      </c>
      <c r="C67" s="175">
        <f>B67/$B$7*100</f>
        <v>5.1534057081817011</v>
      </c>
      <c r="D67" s="182">
        <f>SUM(D64:D66)</f>
        <v>0</v>
      </c>
      <c r="E67" s="175">
        <f>D67/$D$7*100</f>
        <v>0</v>
      </c>
      <c r="F67" s="182">
        <f>SUM(F64:F66)</f>
        <v>56492</v>
      </c>
      <c r="G67" s="175">
        <f t="shared" si="11"/>
        <v>3.0912090527796097</v>
      </c>
      <c r="H67" s="182">
        <f t="shared" ref="H67:S67" si="13">SUM(H64:H66)</f>
        <v>0</v>
      </c>
      <c r="I67" s="182">
        <f t="shared" si="13"/>
        <v>0</v>
      </c>
      <c r="J67" s="182">
        <f t="shared" si="13"/>
        <v>0</v>
      </c>
      <c r="K67" s="182">
        <f t="shared" si="13"/>
        <v>0</v>
      </c>
      <c r="L67" s="182">
        <f t="shared" si="13"/>
        <v>0</v>
      </c>
      <c r="M67" s="182">
        <f t="shared" si="13"/>
        <v>0</v>
      </c>
      <c r="N67" s="182">
        <f t="shared" si="13"/>
        <v>0</v>
      </c>
      <c r="O67" s="182">
        <f t="shared" si="13"/>
        <v>0</v>
      </c>
      <c r="P67" s="182">
        <f t="shared" si="13"/>
        <v>0</v>
      </c>
      <c r="Q67" s="182">
        <f t="shared" si="13"/>
        <v>0</v>
      </c>
      <c r="R67" s="182">
        <f t="shared" si="13"/>
        <v>0</v>
      </c>
      <c r="S67" s="182">
        <f t="shared" si="13"/>
        <v>0</v>
      </c>
      <c r="T67" s="182">
        <f>SUM(T64:T66)</f>
        <v>0</v>
      </c>
      <c r="U67" s="175">
        <f t="shared" si="12"/>
        <v>0</v>
      </c>
    </row>
    <row r="68" spans="1:23">
      <c r="A68" s="176"/>
      <c r="B68" s="167"/>
      <c r="C68" s="175"/>
      <c r="D68" s="167"/>
      <c r="E68" s="175"/>
      <c r="F68" s="167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</row>
    <row r="69" spans="1:23">
      <c r="A69" s="174" t="s">
        <v>40</v>
      </c>
      <c r="B69" s="167">
        <f>B61-B67</f>
        <v>-674954</v>
      </c>
      <c r="C69" s="175">
        <f>B69/$B$7*100</f>
        <v>-64.604602458396585</v>
      </c>
      <c r="D69" s="167">
        <f>D61-D67</f>
        <v>215414.2047500005</v>
      </c>
      <c r="E69" s="175">
        <f>D69/$D$7*100</f>
        <v>8.4945138235365985</v>
      </c>
      <c r="F69" s="167">
        <f>F61-F67</f>
        <v>-487054</v>
      </c>
      <c r="G69" s="175">
        <f t="shared" ref="G69" si="14">F69/$F$7*100</f>
        <v>-26.651308751549241</v>
      </c>
      <c r="H69" s="167">
        <f>H61-H67</f>
        <v>11616.54644618505</v>
      </c>
      <c r="I69" s="167">
        <f t="shared" ref="I69:S69" si="15">I61-I67</f>
        <v>11616.54644618505</v>
      </c>
      <c r="J69" s="167">
        <f t="shared" si="15"/>
        <v>11616.54644618505</v>
      </c>
      <c r="K69" s="167">
        <f t="shared" si="15"/>
        <v>11616.54644618505</v>
      </c>
      <c r="L69" s="167">
        <f t="shared" si="15"/>
        <v>11616.54644618505</v>
      </c>
      <c r="M69" s="167">
        <f t="shared" si="15"/>
        <v>11616.54644618505</v>
      </c>
      <c r="N69" s="167">
        <f t="shared" si="15"/>
        <v>11616.54644618505</v>
      </c>
      <c r="O69" s="167">
        <f t="shared" si="15"/>
        <v>11616.54644618505</v>
      </c>
      <c r="P69" s="167">
        <f t="shared" si="15"/>
        <v>11616.54644618505</v>
      </c>
      <c r="Q69" s="167">
        <f t="shared" si="15"/>
        <v>11616.54644618505</v>
      </c>
      <c r="R69" s="167">
        <f t="shared" si="15"/>
        <v>11616.54644618505</v>
      </c>
      <c r="S69" s="167">
        <f t="shared" si="15"/>
        <v>11616.54644618505</v>
      </c>
      <c r="T69" s="167">
        <f>T61-T67</f>
        <v>139398.55735422112</v>
      </c>
      <c r="U69" s="175">
        <f t="shared" si="12"/>
        <v>6.8698807636676493</v>
      </c>
    </row>
    <row r="70" spans="1:23">
      <c r="A70" s="174"/>
      <c r="B70" s="186"/>
      <c r="C70" s="175"/>
      <c r="D70" s="186"/>
      <c r="E70" s="175"/>
      <c r="F70" s="186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</row>
    <row r="71" spans="1:23">
      <c r="A71" s="174" t="s">
        <v>138</v>
      </c>
      <c r="B71" s="167">
        <f>B69*0</f>
        <v>0</v>
      </c>
      <c r="C71" s="175">
        <f>B71/$B$7*100</f>
        <v>0</v>
      </c>
      <c r="D71" s="167">
        <f>D69*0</f>
        <v>0</v>
      </c>
      <c r="E71" s="175">
        <f>D71/$D$7*100</f>
        <v>0</v>
      </c>
      <c r="F71" s="167">
        <f>F69*0</f>
        <v>0</v>
      </c>
      <c r="G71" s="175">
        <f t="shared" ref="G71" si="16">F71/$F$7*100</f>
        <v>0</v>
      </c>
      <c r="H71" s="167">
        <f t="shared" ref="H71:T71" si="17">H69*0</f>
        <v>0</v>
      </c>
      <c r="I71" s="167">
        <f t="shared" si="17"/>
        <v>0</v>
      </c>
      <c r="J71" s="167">
        <f t="shared" si="17"/>
        <v>0</v>
      </c>
      <c r="K71" s="167">
        <f t="shared" si="17"/>
        <v>0</v>
      </c>
      <c r="L71" s="167">
        <f t="shared" si="17"/>
        <v>0</v>
      </c>
      <c r="M71" s="167">
        <f t="shared" si="17"/>
        <v>0</v>
      </c>
      <c r="N71" s="167">
        <f t="shared" si="17"/>
        <v>0</v>
      </c>
      <c r="O71" s="167">
        <f t="shared" si="17"/>
        <v>0</v>
      </c>
      <c r="P71" s="167">
        <f t="shared" si="17"/>
        <v>0</v>
      </c>
      <c r="Q71" s="167">
        <f t="shared" si="17"/>
        <v>0</v>
      </c>
      <c r="R71" s="167">
        <f t="shared" si="17"/>
        <v>0</v>
      </c>
      <c r="S71" s="167">
        <f t="shared" si="17"/>
        <v>0</v>
      </c>
      <c r="T71" s="167">
        <f t="shared" si="17"/>
        <v>0</v>
      </c>
      <c r="U71" s="175">
        <f t="shared" si="12"/>
        <v>0</v>
      </c>
    </row>
    <row r="72" spans="1:23">
      <c r="A72" s="171"/>
      <c r="B72" s="181" t="s">
        <v>10</v>
      </c>
      <c r="C72" s="187" t="s">
        <v>10</v>
      </c>
      <c r="D72" s="181" t="s">
        <v>10</v>
      </c>
      <c r="E72" s="187" t="s">
        <v>10</v>
      </c>
      <c r="F72" s="181" t="s">
        <v>10</v>
      </c>
      <c r="G72" s="187" t="s">
        <v>10</v>
      </c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 t="s">
        <v>10</v>
      </c>
    </row>
    <row r="73" spans="1:23" ht="13.5" thickBot="1">
      <c r="A73" s="174" t="s">
        <v>41</v>
      </c>
      <c r="B73" s="188">
        <f>B69-B71</f>
        <v>-674954</v>
      </c>
      <c r="C73" s="175">
        <f>B73/$B$7*100</f>
        <v>-64.604602458396585</v>
      </c>
      <c r="D73" s="188">
        <f>D69-D71</f>
        <v>215414.2047500005</v>
      </c>
      <c r="E73" s="175">
        <f>D73/$D$7*100</f>
        <v>8.4945138235365985</v>
      </c>
      <c r="F73" s="188">
        <f>F69-F71</f>
        <v>-487054</v>
      </c>
      <c r="G73" s="175">
        <f t="shared" ref="G73" si="18">F73/$F$7*100</f>
        <v>-26.651308751549241</v>
      </c>
      <c r="H73" s="188">
        <f t="shared" ref="H73:R73" si="19">H69-H71</f>
        <v>11616.54644618505</v>
      </c>
      <c r="I73" s="188">
        <f t="shared" si="19"/>
        <v>11616.54644618505</v>
      </c>
      <c r="J73" s="188">
        <f t="shared" si="19"/>
        <v>11616.54644618505</v>
      </c>
      <c r="K73" s="188">
        <f t="shared" si="19"/>
        <v>11616.54644618505</v>
      </c>
      <c r="L73" s="188">
        <f t="shared" si="19"/>
        <v>11616.54644618505</v>
      </c>
      <c r="M73" s="188">
        <f t="shared" si="19"/>
        <v>11616.54644618505</v>
      </c>
      <c r="N73" s="188">
        <f t="shared" si="19"/>
        <v>11616.54644618505</v>
      </c>
      <c r="O73" s="188">
        <f t="shared" si="19"/>
        <v>11616.54644618505</v>
      </c>
      <c r="P73" s="188">
        <f t="shared" si="19"/>
        <v>11616.54644618505</v>
      </c>
      <c r="Q73" s="188">
        <f t="shared" si="19"/>
        <v>11616.54644618505</v>
      </c>
      <c r="R73" s="188">
        <f t="shared" si="19"/>
        <v>11616.54644618505</v>
      </c>
      <c r="S73" s="188">
        <f>S69-S71</f>
        <v>11616.54644618505</v>
      </c>
      <c r="T73" s="188">
        <f>T69-T71</f>
        <v>139398.55735422112</v>
      </c>
      <c r="U73" s="175">
        <f t="shared" si="12"/>
        <v>6.8698807636676493</v>
      </c>
      <c r="V73" s="168"/>
      <c r="W73" s="168"/>
    </row>
    <row r="74" spans="1:23" ht="13.5" thickTop="1">
      <c r="B74" s="167"/>
      <c r="C74" s="175" t="s">
        <v>10</v>
      </c>
      <c r="D74" s="167"/>
      <c r="E74" s="175" t="s">
        <v>10</v>
      </c>
      <c r="F74" s="167"/>
      <c r="G74" s="175" t="s">
        <v>10</v>
      </c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 t="s">
        <v>10</v>
      </c>
    </row>
    <row r="76" spans="1:23">
      <c r="B76" s="168"/>
      <c r="D76" s="168"/>
      <c r="F76" s="168"/>
      <c r="T76" s="168"/>
    </row>
    <row r="77" spans="1:23">
      <c r="B77" s="168"/>
      <c r="D77" s="168"/>
      <c r="F77" s="168"/>
      <c r="T77" s="169"/>
    </row>
    <row r="78" spans="1:23">
      <c r="T78" s="169"/>
    </row>
    <row r="79" spans="1:23">
      <c r="T79" s="195"/>
    </row>
    <row r="81" spans="20:20">
      <c r="T81" s="169"/>
    </row>
    <row r="83" spans="20:20">
      <c r="T83" s="195"/>
    </row>
  </sheetData>
  <sheetProtection algorithmName="SHA-512" hashValue="+XQ1/bcc4fhNMPGozgvVW+FCEFbyR3A5V4pY4zzlWtHEYcP4j2Y75XMxZYVBK2faRZ+v2Zvq5b1sM6LYuTTWwQ==" saltValue="H8gt2dX9WdVv7ZG7SkIcRg==" spinCount="100000" sheet="1" objects="1" scenarios="1"/>
  <phoneticPr fontId="0" type="noConversion"/>
  <printOptions horizontalCentered="1"/>
  <pageMargins left="0.25" right="0.25" top="1.05" bottom="0" header="0.38" footer="0.3"/>
  <pageSetup scale="52" fitToHeight="3" orientation="landscape" r:id="rId1"/>
  <headerFooter alignWithMargins="0">
    <oddHeader>&amp;C&amp;"Arial MT,Bold"&amp;10CVR ENGINEERING LLC
BUDGETED STATEMENT OF INCOME
For the Twelve Months Ended December 31, 2024
&amp;R&amp;"Arial MT,Bold"&amp;8&amp;F
&amp;D
&amp;T</oddHeader>
  </headerFooter>
  <rowBreaks count="2" manualBreakCount="2">
    <brk id="15" max="16383" man="1"/>
    <brk id="1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92D050"/>
    <pageSetUpPr fitToPage="1"/>
  </sheetPr>
  <dimension ref="A1:H75"/>
  <sheetViews>
    <sheetView zoomScaleNormal="100" workbookViewId="0">
      <selection activeCell="G39" sqref="G39"/>
    </sheetView>
  </sheetViews>
  <sheetFormatPr defaultRowHeight="15"/>
  <cols>
    <col min="1" max="1" width="35" customWidth="1"/>
    <col min="2" max="2" width="11.6640625" customWidth="1"/>
    <col min="3" max="3" width="12.109375" customWidth="1"/>
    <col min="4" max="5" width="11.5546875" customWidth="1"/>
    <col min="6" max="6" width="11.77734375" bestFit="1" customWidth="1"/>
    <col min="8" max="8" width="14.5546875" bestFit="1" customWidth="1"/>
  </cols>
  <sheetData>
    <row r="1" spans="1:8" ht="15.75">
      <c r="B1" s="6" t="s">
        <v>32</v>
      </c>
      <c r="C1" s="6"/>
      <c r="D1" s="6" t="s">
        <v>32</v>
      </c>
      <c r="E1" s="7"/>
      <c r="F1" s="7" t="s">
        <v>0</v>
      </c>
    </row>
    <row r="2" spans="1:8" ht="15.75">
      <c r="B2" s="6" t="s">
        <v>42</v>
      </c>
      <c r="C2" s="13"/>
      <c r="D2" s="6" t="s">
        <v>42</v>
      </c>
      <c r="E2" s="13">
        <v>2026</v>
      </c>
      <c r="F2" s="7" t="s">
        <v>42</v>
      </c>
    </row>
    <row r="3" spans="1:8" ht="15.75">
      <c r="B3" s="31">
        <v>45657</v>
      </c>
      <c r="C3" s="9" t="s">
        <v>43</v>
      </c>
      <c r="D3" s="31">
        <v>46022</v>
      </c>
      <c r="E3" s="9" t="s">
        <v>43</v>
      </c>
      <c r="F3" s="31">
        <v>46387</v>
      </c>
    </row>
    <row r="4" spans="1:8" ht="15.75">
      <c r="A4" s="7" t="s">
        <v>44</v>
      </c>
      <c r="B4" s="2"/>
      <c r="C4" s="2"/>
      <c r="D4" s="2"/>
      <c r="E4" s="2"/>
    </row>
    <row r="5" spans="1:8">
      <c r="A5" s="1"/>
      <c r="B5" s="19"/>
      <c r="C5" s="19"/>
      <c r="D5" s="19"/>
      <c r="E5" s="19"/>
      <c r="F5" s="19"/>
    </row>
    <row r="6" spans="1:8" ht="15.75">
      <c r="A6" s="10" t="s">
        <v>45</v>
      </c>
      <c r="B6" s="19"/>
      <c r="C6" s="19"/>
      <c r="D6" s="19"/>
      <c r="E6" s="19"/>
      <c r="F6" s="19"/>
    </row>
    <row r="7" spans="1:8">
      <c r="A7" s="3" t="s">
        <v>46</v>
      </c>
      <c r="B7" s="19">
        <v>0</v>
      </c>
      <c r="C7" s="19">
        <v>0</v>
      </c>
      <c r="D7" s="19">
        <v>0</v>
      </c>
      <c r="E7" s="19">
        <v>0</v>
      </c>
      <c r="F7" s="19">
        <f t="shared" ref="F7:F13" si="0">SUM(D7:E7)</f>
        <v>0</v>
      </c>
    </row>
    <row r="8" spans="1:8">
      <c r="A8" s="3" t="s">
        <v>252</v>
      </c>
      <c r="B8" s="19">
        <v>17987</v>
      </c>
      <c r="C8" s="19">
        <v>0</v>
      </c>
      <c r="D8" s="19">
        <v>40886</v>
      </c>
      <c r="E8" s="327">
        <v>-10886</v>
      </c>
      <c r="F8" s="19">
        <f t="shared" si="0"/>
        <v>30000</v>
      </c>
      <c r="H8" s="101"/>
    </row>
    <row r="9" spans="1:8">
      <c r="A9" s="3" t="s">
        <v>216</v>
      </c>
      <c r="B9" s="19">
        <v>0</v>
      </c>
      <c r="C9" s="19">
        <v>0</v>
      </c>
      <c r="D9" s="19">
        <v>0</v>
      </c>
      <c r="E9" s="19">
        <v>0</v>
      </c>
      <c r="F9" s="19">
        <f t="shared" si="0"/>
        <v>0</v>
      </c>
    </row>
    <row r="10" spans="1:8">
      <c r="A10" s="3" t="s">
        <v>100</v>
      </c>
      <c r="B10" s="19">
        <v>0</v>
      </c>
      <c r="C10" s="19">
        <v>0</v>
      </c>
      <c r="D10" s="19">
        <v>0</v>
      </c>
      <c r="E10" s="19">
        <v>0</v>
      </c>
      <c r="F10" s="19">
        <f t="shared" si="0"/>
        <v>0</v>
      </c>
    </row>
    <row r="11" spans="1:8">
      <c r="A11" s="3" t="s">
        <v>218</v>
      </c>
      <c r="B11" s="19">
        <v>0</v>
      </c>
      <c r="C11" s="19">
        <v>0</v>
      </c>
      <c r="D11" s="19">
        <v>0</v>
      </c>
      <c r="E11" s="19">
        <v>0</v>
      </c>
      <c r="F11" s="19">
        <f t="shared" si="0"/>
        <v>0</v>
      </c>
    </row>
    <row r="12" spans="1:8">
      <c r="A12" s="3" t="s">
        <v>165</v>
      </c>
      <c r="B12" s="19">
        <v>0</v>
      </c>
      <c r="C12" s="19">
        <v>0</v>
      </c>
      <c r="D12" s="19">
        <v>0</v>
      </c>
      <c r="E12" s="19">
        <v>0</v>
      </c>
      <c r="F12" s="19">
        <f t="shared" si="0"/>
        <v>0</v>
      </c>
    </row>
    <row r="13" spans="1:8">
      <c r="A13" s="3" t="s">
        <v>298</v>
      </c>
      <c r="B13" s="19">
        <v>0</v>
      </c>
      <c r="C13" s="19">
        <v>0</v>
      </c>
      <c r="D13" s="19">
        <v>6000</v>
      </c>
      <c r="E13" s="327">
        <v>0</v>
      </c>
      <c r="F13" s="19">
        <f t="shared" si="0"/>
        <v>6000</v>
      </c>
    </row>
    <row r="14" spans="1:8" ht="15.75">
      <c r="A14" s="10" t="s">
        <v>47</v>
      </c>
      <c r="B14" s="21">
        <f>SUM(B7:B13)</f>
        <v>17987</v>
      </c>
      <c r="C14" s="21">
        <f>SUM(C7:C13)</f>
        <v>0</v>
      </c>
      <c r="D14" s="21">
        <f>SUM(D7:D13)</f>
        <v>46886</v>
      </c>
      <c r="E14" s="21">
        <f>SUM(E7:E13)</f>
        <v>-10886</v>
      </c>
      <c r="F14" s="21">
        <f>SUM(F7:F13)</f>
        <v>36000</v>
      </c>
    </row>
    <row r="15" spans="1:8">
      <c r="A15" s="1"/>
      <c r="B15" s="19"/>
      <c r="C15" s="19"/>
      <c r="D15" s="19"/>
      <c r="E15" s="19"/>
      <c r="F15" s="19"/>
    </row>
    <row r="16" spans="1:8" ht="15.75">
      <c r="A16" s="10" t="s">
        <v>48</v>
      </c>
      <c r="B16" s="19"/>
      <c r="C16" s="19"/>
      <c r="D16" s="19"/>
      <c r="E16" s="19"/>
      <c r="F16" s="19"/>
    </row>
    <row r="17" spans="1:6">
      <c r="A17" s="3" t="s">
        <v>49</v>
      </c>
      <c r="B17" s="19">
        <v>0</v>
      </c>
      <c r="C17" s="19">
        <v>0</v>
      </c>
      <c r="D17" s="19">
        <v>0</v>
      </c>
      <c r="E17" s="19">
        <v>0</v>
      </c>
      <c r="F17" s="19">
        <f>SUM(D17:E17)</f>
        <v>0</v>
      </c>
    </row>
    <row r="18" spans="1:6">
      <c r="A18" s="3" t="s">
        <v>242</v>
      </c>
      <c r="B18" s="19">
        <v>0</v>
      </c>
      <c r="C18" s="19">
        <v>0</v>
      </c>
      <c r="D18" s="19">
        <v>0</v>
      </c>
      <c r="E18" s="19">
        <v>0</v>
      </c>
      <c r="F18" s="19">
        <f>SUM(D18:E18)</f>
        <v>0</v>
      </c>
    </row>
    <row r="19" spans="1:6">
      <c r="A19" s="3" t="s">
        <v>50</v>
      </c>
      <c r="B19" s="19">
        <v>0</v>
      </c>
      <c r="C19" s="19">
        <v>0</v>
      </c>
      <c r="D19" s="19">
        <v>0</v>
      </c>
      <c r="E19" s="19">
        <v>0</v>
      </c>
      <c r="F19" s="19">
        <f>SUM(D19:E19)</f>
        <v>0</v>
      </c>
    </row>
    <row r="20" spans="1:6">
      <c r="A20" s="3" t="s">
        <v>51</v>
      </c>
      <c r="B20" s="19">
        <v>0</v>
      </c>
      <c r="C20" s="19">
        <v>0</v>
      </c>
      <c r="D20" s="19">
        <v>0</v>
      </c>
      <c r="E20" s="19">
        <v>0</v>
      </c>
      <c r="F20" s="19">
        <f>SUM(D20:E20)</f>
        <v>0</v>
      </c>
    </row>
    <row r="21" spans="1:6">
      <c r="A21" s="3" t="s">
        <v>19</v>
      </c>
      <c r="B21" s="20">
        <v>0</v>
      </c>
      <c r="C21" s="20">
        <v>0</v>
      </c>
      <c r="D21" s="20">
        <v>0</v>
      </c>
      <c r="E21" s="20">
        <v>0</v>
      </c>
      <c r="F21" s="20">
        <f>SUM(D21:E21)</f>
        <v>0</v>
      </c>
    </row>
    <row r="22" spans="1:6">
      <c r="A22" s="3" t="s">
        <v>52</v>
      </c>
      <c r="B22" s="19">
        <f>SUM(B17:B21)</f>
        <v>0</v>
      </c>
      <c r="C22" s="19">
        <f>SUM(C17:C21)</f>
        <v>0</v>
      </c>
      <c r="D22" s="19">
        <f>SUM(D17:D21)</f>
        <v>0</v>
      </c>
      <c r="E22" s="19">
        <f>SUM(E17:E21)</f>
        <v>0</v>
      </c>
      <c r="F22" s="19">
        <f>SUM(F17:F21)</f>
        <v>0</v>
      </c>
    </row>
    <row r="23" spans="1:6">
      <c r="A23" s="3" t="s">
        <v>53</v>
      </c>
      <c r="B23" s="20">
        <v>0</v>
      </c>
      <c r="C23" s="20">
        <v>0</v>
      </c>
      <c r="D23" s="20">
        <f>SUM(B23:C23)</f>
        <v>0</v>
      </c>
      <c r="E23" s="20">
        <v>0</v>
      </c>
      <c r="F23" s="20">
        <f>SUM(D23:E23)</f>
        <v>0</v>
      </c>
    </row>
    <row r="24" spans="1:6">
      <c r="A24" s="3"/>
      <c r="B24" s="19"/>
      <c r="C24" s="19"/>
      <c r="D24" s="19"/>
      <c r="E24" s="19"/>
      <c r="F24" s="19"/>
    </row>
    <row r="25" spans="1:6">
      <c r="A25" s="3" t="s">
        <v>54</v>
      </c>
      <c r="B25" s="20">
        <f>B22+B23</f>
        <v>0</v>
      </c>
      <c r="C25" s="20">
        <f>(C22+C23)</f>
        <v>0</v>
      </c>
      <c r="D25" s="20">
        <f>(D22+D23)</f>
        <v>0</v>
      </c>
      <c r="E25" s="20">
        <f>(E22+E23)</f>
        <v>0</v>
      </c>
      <c r="F25" s="20">
        <f>(F22+F23)</f>
        <v>0</v>
      </c>
    </row>
    <row r="26" spans="1:6">
      <c r="B26" s="19"/>
      <c r="C26" s="19"/>
      <c r="D26" s="19"/>
      <c r="E26" s="19"/>
      <c r="F26" s="19"/>
    </row>
    <row r="27" spans="1:6" ht="15.75">
      <c r="A27" s="10" t="s">
        <v>55</v>
      </c>
      <c r="B27" s="19"/>
      <c r="C27" s="19"/>
      <c r="D27" s="19"/>
      <c r="E27" s="19"/>
      <c r="F27" s="19"/>
    </row>
    <row r="28" spans="1:6">
      <c r="A28" s="3" t="s">
        <v>131</v>
      </c>
      <c r="B28" s="19">
        <v>0</v>
      </c>
      <c r="C28" s="19">
        <v>0</v>
      </c>
      <c r="D28" s="19">
        <v>0</v>
      </c>
      <c r="E28" s="19">
        <v>0</v>
      </c>
      <c r="F28" s="19">
        <f>SUM(D28:E28)</f>
        <v>0</v>
      </c>
    </row>
    <row r="29" spans="1:6">
      <c r="A29" s="3" t="s">
        <v>141</v>
      </c>
      <c r="B29" s="20">
        <v>0</v>
      </c>
      <c r="C29" s="20">
        <v>0</v>
      </c>
      <c r="D29" s="20">
        <v>0</v>
      </c>
      <c r="E29" s="20">
        <v>0</v>
      </c>
      <c r="F29" s="20">
        <f>SUM(D29:E29)</f>
        <v>0</v>
      </c>
    </row>
    <row r="30" spans="1:6">
      <c r="A30" s="3"/>
      <c r="B30" s="21">
        <f>SUM(B28:B29)</f>
        <v>0</v>
      </c>
      <c r="C30" s="21">
        <f>SUM(C28:C29)</f>
        <v>0</v>
      </c>
      <c r="D30" s="21">
        <f>SUM(D28:D29)</f>
        <v>0</v>
      </c>
      <c r="E30" s="21">
        <f>SUM(E28:E29)</f>
        <v>0</v>
      </c>
      <c r="F30" s="21">
        <f>SUM(F28:F29)</f>
        <v>0</v>
      </c>
    </row>
    <row r="31" spans="1:6">
      <c r="A31" s="1"/>
      <c r="B31" s="19"/>
      <c r="C31" s="19"/>
      <c r="D31" s="19"/>
      <c r="E31" s="19"/>
      <c r="F31" s="19"/>
    </row>
    <row r="32" spans="1:6" ht="16.5" thickBot="1">
      <c r="A32" s="10" t="s">
        <v>56</v>
      </c>
      <c r="B32" s="27">
        <f>(B14+B25+B30)</f>
        <v>17987</v>
      </c>
      <c r="C32" s="27">
        <f>(C14+C25+C30)</f>
        <v>0</v>
      </c>
      <c r="D32" s="27">
        <f>(D14+D25+D30)</f>
        <v>46886</v>
      </c>
      <c r="E32" s="27">
        <f>(E14+E25+E30)</f>
        <v>-10886</v>
      </c>
      <c r="F32" s="27">
        <f>(F14+F25+F30)</f>
        <v>36000</v>
      </c>
    </row>
    <row r="33" spans="1:7" ht="15.75" thickTop="1">
      <c r="A33" s="3"/>
      <c r="B33" s="19"/>
      <c r="C33" s="19"/>
      <c r="D33" s="19"/>
      <c r="E33" s="19"/>
      <c r="F33" s="19"/>
    </row>
    <row r="34" spans="1:7" ht="15.75">
      <c r="A34" s="5" t="s">
        <v>57</v>
      </c>
      <c r="B34" s="19"/>
      <c r="C34" s="19"/>
      <c r="D34" s="19"/>
      <c r="E34" s="19"/>
      <c r="F34" s="19"/>
    </row>
    <row r="35" spans="1:7">
      <c r="A35" s="3"/>
      <c r="B35" s="19"/>
      <c r="C35" s="19"/>
      <c r="D35" s="19"/>
      <c r="E35" s="19"/>
      <c r="F35" s="19"/>
    </row>
    <row r="36" spans="1:7" ht="15.75">
      <c r="A36" s="10" t="s">
        <v>58</v>
      </c>
      <c r="B36" s="19"/>
      <c r="C36" s="19"/>
      <c r="D36" s="19"/>
      <c r="E36" s="19"/>
      <c r="F36" s="19"/>
    </row>
    <row r="37" spans="1:7">
      <c r="A37" s="3" t="s">
        <v>59</v>
      </c>
      <c r="B37" s="19">
        <v>81</v>
      </c>
      <c r="C37" s="19">
        <v>0</v>
      </c>
      <c r="D37" s="19">
        <v>0</v>
      </c>
      <c r="E37" s="327">
        <v>0</v>
      </c>
      <c r="F37" s="19">
        <f t="shared" ref="F37:F46" si="1">SUM(D37:E37)</f>
        <v>0</v>
      </c>
    </row>
    <row r="38" spans="1:7" ht="14.25" customHeight="1">
      <c r="A38" s="3" t="s">
        <v>62</v>
      </c>
      <c r="B38" s="19">
        <f>20250</f>
        <v>20250</v>
      </c>
      <c r="C38" s="19">
        <v>0</v>
      </c>
      <c r="D38" s="19">
        <f>40871+14049</f>
        <v>54920</v>
      </c>
      <c r="E38" s="327">
        <v>-4920</v>
      </c>
      <c r="F38" s="19">
        <f t="shared" si="1"/>
        <v>50000</v>
      </c>
      <c r="G38" t="s">
        <v>418</v>
      </c>
    </row>
    <row r="39" spans="1:7">
      <c r="A39" s="3" t="s">
        <v>110</v>
      </c>
      <c r="B39" s="19">
        <v>70690</v>
      </c>
      <c r="C39" s="19">
        <v>0</v>
      </c>
      <c r="D39" s="19">
        <v>27300</v>
      </c>
      <c r="E39" s="327">
        <f>Labor!W16-D39</f>
        <v>27440.431500000006</v>
      </c>
      <c r="F39" s="19">
        <f t="shared" si="1"/>
        <v>54740.431500000006</v>
      </c>
    </row>
    <row r="40" spans="1:7">
      <c r="A40" s="3" t="s">
        <v>61</v>
      </c>
      <c r="B40" s="19">
        <v>-34977</v>
      </c>
      <c r="C40" s="19">
        <v>0</v>
      </c>
      <c r="D40" s="19">
        <v>-2365</v>
      </c>
      <c r="E40" s="327">
        <v>-2635</v>
      </c>
      <c r="F40" s="19">
        <f t="shared" si="1"/>
        <v>-5000</v>
      </c>
    </row>
    <row r="41" spans="1:7">
      <c r="A41" s="3" t="s">
        <v>169</v>
      </c>
      <c r="B41" s="19">
        <v>2635</v>
      </c>
      <c r="C41" s="19">
        <v>0</v>
      </c>
      <c r="D41" s="19">
        <v>7373</v>
      </c>
      <c r="E41" s="327">
        <f>-2373</f>
        <v>-2373</v>
      </c>
      <c r="F41" s="19">
        <f t="shared" si="1"/>
        <v>5000</v>
      </c>
    </row>
    <row r="42" spans="1:7">
      <c r="A42" s="3" t="s">
        <v>60</v>
      </c>
      <c r="B42" s="19">
        <v>5539</v>
      </c>
      <c r="C42" s="19">
        <v>0</v>
      </c>
      <c r="D42" s="19">
        <v>11922</v>
      </c>
      <c r="E42" s="327">
        <v>-11922</v>
      </c>
      <c r="F42" s="19">
        <f t="shared" si="1"/>
        <v>0</v>
      </c>
    </row>
    <row r="43" spans="1:7">
      <c r="A43" s="3" t="s">
        <v>170</v>
      </c>
      <c r="B43" s="19">
        <v>0</v>
      </c>
      <c r="C43" s="19">
        <v>0</v>
      </c>
      <c r="D43" s="19">
        <v>0</v>
      </c>
      <c r="E43" s="327">
        <v>0</v>
      </c>
      <c r="F43" s="19">
        <f t="shared" si="1"/>
        <v>0</v>
      </c>
    </row>
    <row r="44" spans="1:7">
      <c r="A44" s="3" t="s">
        <v>299</v>
      </c>
      <c r="B44" s="19">
        <v>0</v>
      </c>
      <c r="C44" s="19">
        <v>0</v>
      </c>
      <c r="D44" s="19">
        <v>3596</v>
      </c>
      <c r="E44" s="327">
        <v>-1596</v>
      </c>
      <c r="F44" s="19">
        <f t="shared" si="1"/>
        <v>2000</v>
      </c>
    </row>
    <row r="45" spans="1:7">
      <c r="A45" s="3" t="s">
        <v>63</v>
      </c>
      <c r="B45" s="19">
        <v>16069</v>
      </c>
      <c r="C45" s="19">
        <v>0</v>
      </c>
      <c r="D45" s="19">
        <v>11497</v>
      </c>
      <c r="E45" s="327">
        <v>3503</v>
      </c>
      <c r="F45" s="19">
        <f t="shared" si="1"/>
        <v>15000</v>
      </c>
    </row>
    <row r="46" spans="1:7">
      <c r="A46" s="3" t="s">
        <v>114</v>
      </c>
      <c r="B46" s="19">
        <v>0</v>
      </c>
      <c r="C46" s="19">
        <v>0</v>
      </c>
      <c r="D46" s="19">
        <v>0</v>
      </c>
      <c r="E46" s="19">
        <v>0</v>
      </c>
      <c r="F46" s="19">
        <f t="shared" si="1"/>
        <v>0</v>
      </c>
    </row>
    <row r="47" spans="1:7">
      <c r="A47" s="3" t="s">
        <v>101</v>
      </c>
      <c r="B47" s="19">
        <v>0</v>
      </c>
      <c r="C47" s="19">
        <v>0</v>
      </c>
      <c r="D47" s="19">
        <v>0</v>
      </c>
      <c r="E47" s="19">
        <v>0</v>
      </c>
      <c r="F47" s="19">
        <f>SUM(D47:E47)</f>
        <v>0</v>
      </c>
    </row>
    <row r="48" spans="1:7">
      <c r="A48" s="3" t="s">
        <v>64</v>
      </c>
      <c r="B48" s="19">
        <v>0</v>
      </c>
      <c r="C48" s="19">
        <v>0</v>
      </c>
      <c r="D48" s="19">
        <v>0</v>
      </c>
      <c r="E48" s="19">
        <v>0</v>
      </c>
      <c r="F48" s="19">
        <f>SUM(D48:E48)</f>
        <v>0</v>
      </c>
    </row>
    <row r="49" spans="1:8" ht="15.75">
      <c r="A49" s="10" t="s">
        <v>65</v>
      </c>
      <c r="B49" s="21">
        <f>SUM(B37:B48)</f>
        <v>80287</v>
      </c>
      <c r="C49" s="21">
        <f>SUM(C37:C48)</f>
        <v>0</v>
      </c>
      <c r="D49" s="21">
        <f>SUM(D37:D48)</f>
        <v>114243</v>
      </c>
      <c r="E49" s="21">
        <f>SUM(E37:E48)</f>
        <v>7497.4315000000061</v>
      </c>
      <c r="F49" s="21">
        <f>SUM(F37:F48)</f>
        <v>121740.43150000001</v>
      </c>
      <c r="H49" s="19"/>
    </row>
    <row r="50" spans="1:8">
      <c r="B50" s="19"/>
      <c r="C50" s="19"/>
      <c r="D50" s="19"/>
      <c r="E50" s="19"/>
      <c r="F50" s="19"/>
    </row>
    <row r="51" spans="1:8" ht="15.75">
      <c r="A51" s="11" t="s">
        <v>140</v>
      </c>
      <c r="B51" s="19">
        <v>0</v>
      </c>
      <c r="C51" s="19">
        <v>0</v>
      </c>
      <c r="D51" s="19">
        <f>SUM(B51:C51)</f>
        <v>0</v>
      </c>
      <c r="E51" s="19">
        <v>0</v>
      </c>
      <c r="F51" s="19">
        <f>SUM(D51:E51)</f>
        <v>0</v>
      </c>
    </row>
    <row r="52" spans="1:8">
      <c r="B52" s="19"/>
      <c r="C52" s="19"/>
      <c r="D52" s="19"/>
      <c r="E52" s="19"/>
      <c r="F52" s="19"/>
    </row>
    <row r="53" spans="1:8" ht="15.75">
      <c r="A53" s="10" t="s">
        <v>66</v>
      </c>
      <c r="B53" s="19"/>
      <c r="C53" s="19"/>
      <c r="D53" s="19"/>
      <c r="E53" s="19"/>
      <c r="F53" s="19"/>
    </row>
    <row r="54" spans="1:8">
      <c r="A54" s="3" t="s">
        <v>130</v>
      </c>
      <c r="B54" s="19">
        <v>2477470</v>
      </c>
      <c r="C54" s="19">
        <v>0</v>
      </c>
      <c r="D54" s="19">
        <v>2959467</v>
      </c>
      <c r="E54" s="42">
        <f>CVRSCF!F31</f>
        <v>-157782</v>
      </c>
      <c r="F54" s="19">
        <f>SUM(D54:E54)</f>
        <v>2801685</v>
      </c>
    </row>
    <row r="55" spans="1:8">
      <c r="A55" s="3" t="s">
        <v>67</v>
      </c>
      <c r="B55" s="19">
        <v>0</v>
      </c>
      <c r="C55" s="19">
        <v>0</v>
      </c>
      <c r="D55" s="19">
        <v>0</v>
      </c>
      <c r="E55" s="19">
        <v>0</v>
      </c>
      <c r="F55" s="19">
        <f>SUM(D55:E55)</f>
        <v>0</v>
      </c>
    </row>
    <row r="56" spans="1:8" ht="15.75">
      <c r="A56" s="10" t="s">
        <v>68</v>
      </c>
      <c r="B56" s="21">
        <f>SUM(B54:B55)</f>
        <v>2477470</v>
      </c>
      <c r="C56" s="21">
        <f>SUM(C54:C55)</f>
        <v>0</v>
      </c>
      <c r="D56" s="21">
        <f>SUM(D54:D55)</f>
        <v>2959467</v>
      </c>
      <c r="E56" s="21">
        <f>SUM(E54:E55)</f>
        <v>-157782</v>
      </c>
      <c r="F56" s="21">
        <f>SUM(F54:F55)</f>
        <v>2801685</v>
      </c>
    </row>
    <row r="57" spans="1:8">
      <c r="A57" s="1"/>
      <c r="B57" s="19"/>
      <c r="C57" s="19"/>
      <c r="D57" s="19"/>
      <c r="E57" s="19"/>
      <c r="F57" s="19"/>
    </row>
    <row r="58" spans="1:8" ht="15.75">
      <c r="A58" s="10" t="s">
        <v>69</v>
      </c>
      <c r="B58" s="19">
        <f>(B49+B51+B56)</f>
        <v>2557757</v>
      </c>
      <c r="C58" s="19">
        <f>(C49+C51+C56)</f>
        <v>0</v>
      </c>
      <c r="D58" s="19">
        <f>(D49+D51+D56)</f>
        <v>3073710</v>
      </c>
      <c r="E58" s="19">
        <f>(E49+E51+E56)</f>
        <v>-150284.56849999999</v>
      </c>
      <c r="F58" s="19">
        <f>(F49+F51+F56)</f>
        <v>2923425.4314999999</v>
      </c>
    </row>
    <row r="59" spans="1:8">
      <c r="B59" s="19"/>
      <c r="C59" s="19"/>
      <c r="D59" s="19"/>
      <c r="E59" s="19"/>
      <c r="F59" s="19"/>
    </row>
    <row r="60" spans="1:8" ht="15.75">
      <c r="A60" s="10" t="s">
        <v>70</v>
      </c>
      <c r="B60" s="19"/>
      <c r="C60" s="19"/>
      <c r="D60" s="19"/>
      <c r="E60" s="19"/>
      <c r="F60" s="19"/>
    </row>
    <row r="61" spans="1:8">
      <c r="A61" s="3" t="s">
        <v>71</v>
      </c>
      <c r="B61" s="19">
        <v>0</v>
      </c>
      <c r="C61" s="19">
        <v>0</v>
      </c>
      <c r="D61" s="19">
        <v>0</v>
      </c>
      <c r="E61" s="19">
        <v>0</v>
      </c>
      <c r="F61" s="19">
        <f>SUM(D61:E61)</f>
        <v>0</v>
      </c>
    </row>
    <row r="62" spans="1:8">
      <c r="A62" s="3" t="s">
        <v>300</v>
      </c>
      <c r="B62" s="19">
        <v>500</v>
      </c>
      <c r="C62" s="19">
        <v>0</v>
      </c>
      <c r="D62" s="19">
        <v>500</v>
      </c>
      <c r="E62" s="19">
        <v>0</v>
      </c>
      <c r="F62" s="19">
        <f>SUM(D62:E62)</f>
        <v>500</v>
      </c>
    </row>
    <row r="63" spans="1:8">
      <c r="A63" s="3" t="s">
        <v>72</v>
      </c>
      <c r="B63" s="19">
        <v>-1865315</v>
      </c>
      <c r="C63" s="19">
        <v>0</v>
      </c>
      <c r="D63" s="19">
        <f>B63+B64</f>
        <v>-2540270</v>
      </c>
      <c r="E63" s="19">
        <v>0</v>
      </c>
      <c r="F63" s="19">
        <f>SUM(D63:D64)</f>
        <v>-3027324</v>
      </c>
    </row>
    <row r="64" spans="1:8">
      <c r="A64" s="3" t="s">
        <v>73</v>
      </c>
      <c r="B64" s="20">
        <f>CVRIS!B73-1</f>
        <v>-674955</v>
      </c>
      <c r="C64" s="20">
        <v>0</v>
      </c>
      <c r="D64" s="20">
        <f>CVRIS!F73</f>
        <v>-487054</v>
      </c>
      <c r="E64" s="20">
        <f>F64</f>
        <v>139398.55735422112</v>
      </c>
      <c r="F64" s="20">
        <f>+CVRIS!T73</f>
        <v>139398.55735422112</v>
      </c>
    </row>
    <row r="65" spans="1:8">
      <c r="A65" s="1"/>
      <c r="B65" s="22" t="s">
        <v>10</v>
      </c>
      <c r="C65" s="22" t="s">
        <v>10</v>
      </c>
      <c r="D65" s="22" t="s">
        <v>10</v>
      </c>
      <c r="E65" s="19"/>
      <c r="F65" s="22" t="s">
        <v>10</v>
      </c>
    </row>
    <row r="66" spans="1:8" ht="15.75">
      <c r="A66" s="10" t="s">
        <v>74</v>
      </c>
      <c r="B66" s="20">
        <f>SUM(B61:B64)</f>
        <v>-2539770</v>
      </c>
      <c r="C66" s="20">
        <f>SUM(C61:C64)</f>
        <v>0</v>
      </c>
      <c r="D66" s="20">
        <f>SUM(D61:D64)</f>
        <v>-3026824</v>
      </c>
      <c r="E66" s="20">
        <f>SUM(E61:E64)</f>
        <v>139398.55735422112</v>
      </c>
      <c r="F66" s="20">
        <f>SUM(F61:F64)</f>
        <v>-2887425.4426457789</v>
      </c>
    </row>
    <row r="67" spans="1:8">
      <c r="A67" s="1"/>
      <c r="B67" s="22" t="s">
        <v>10</v>
      </c>
      <c r="C67" s="22" t="s">
        <v>10</v>
      </c>
      <c r="D67" s="22" t="s">
        <v>10</v>
      </c>
      <c r="E67" s="19"/>
      <c r="F67" s="22" t="s">
        <v>10</v>
      </c>
    </row>
    <row r="68" spans="1:8" ht="16.5" thickBot="1">
      <c r="A68" s="10" t="s">
        <v>75</v>
      </c>
      <c r="B68" s="27">
        <f>(B58+B66)</f>
        <v>17987</v>
      </c>
      <c r="C68" s="27">
        <f>(C58+C66)</f>
        <v>0</v>
      </c>
      <c r="D68" s="27">
        <f>(D58+D66)</f>
        <v>46886</v>
      </c>
      <c r="E68" s="27">
        <f>(E58+E66)</f>
        <v>-10886.011145778873</v>
      </c>
      <c r="F68" s="27">
        <f>(F58+F66)</f>
        <v>35999.988854221068</v>
      </c>
      <c r="G68" s="19">
        <f>F68-F32</f>
        <v>-1.1145778931677341E-2</v>
      </c>
      <c r="H68" s="19"/>
    </row>
    <row r="69" spans="1:8" ht="16.5" thickTop="1">
      <c r="A69" s="10"/>
      <c r="B69" s="19"/>
      <c r="C69" s="19"/>
      <c r="D69" s="19"/>
      <c r="E69" s="19"/>
      <c r="F69" s="19"/>
    </row>
    <row r="70" spans="1:8">
      <c r="B70" s="19"/>
      <c r="C70" s="19"/>
      <c r="D70" s="19"/>
      <c r="E70" s="19"/>
      <c r="F70" s="19"/>
    </row>
    <row r="71" spans="1:8" ht="15.75">
      <c r="A71" s="11" t="s">
        <v>76</v>
      </c>
      <c r="B71" s="44">
        <f>(B14/B49)</f>
        <v>0.22403377881848868</v>
      </c>
      <c r="C71" s="8"/>
      <c r="D71" s="44">
        <f>(D14/D49)</f>
        <v>0.41040588920108889</v>
      </c>
      <c r="E71" s="8"/>
      <c r="F71" s="44">
        <f>(F14/F49)</f>
        <v>0.29571112535443905</v>
      </c>
    </row>
    <row r="72" spans="1:8" ht="15.75">
      <c r="A72" s="11" t="s">
        <v>77</v>
      </c>
      <c r="B72" s="44">
        <f>(B58/B66)</f>
        <v>-1.0070821373588947</v>
      </c>
      <c r="C72" s="8"/>
      <c r="D72" s="44">
        <f>(D58/D66)</f>
        <v>-1.0154901639474248</v>
      </c>
      <c r="E72" s="45" t="s">
        <v>10</v>
      </c>
      <c r="F72" s="44">
        <f>(F58/F66)</f>
        <v>-1.012467850536509</v>
      </c>
      <c r="H72" s="95"/>
    </row>
    <row r="73" spans="1:8" ht="15.75">
      <c r="A73" s="11" t="s">
        <v>78</v>
      </c>
      <c r="B73" s="46">
        <f>IFERROR(B64/0,0)</f>
        <v>0</v>
      </c>
      <c r="C73" s="8"/>
      <c r="D73" s="46">
        <f>IFERROR(D64/0,0)</f>
        <v>0</v>
      </c>
      <c r="E73" s="8"/>
      <c r="F73" s="46">
        <f>IFERROR(F64/D66,0)</f>
        <v>-4.6054398060217945E-2</v>
      </c>
      <c r="H73" s="95"/>
    </row>
    <row r="74" spans="1:8" ht="15.75">
      <c r="A74" s="11" t="s">
        <v>316</v>
      </c>
      <c r="B74" s="47">
        <f>CVRIS!B73+CVRIS!B65</f>
        <v>-621114</v>
      </c>
      <c r="C74" s="47"/>
      <c r="D74" s="47">
        <f>CVRIS!F73+CVRIS!F65</f>
        <v>-430562</v>
      </c>
      <c r="E74" s="48" t="s">
        <v>10</v>
      </c>
      <c r="F74" s="347">
        <f>CVRIS!T73</f>
        <v>139398.55735422112</v>
      </c>
      <c r="H74" s="95"/>
    </row>
    <row r="75" spans="1:8" ht="15.75">
      <c r="A75" s="8"/>
      <c r="B75" s="60"/>
      <c r="D75" s="60"/>
    </row>
  </sheetData>
  <sheetProtection algorithmName="SHA-512" hashValue="kHaoSSih9kg+mJuKgua7kx3D4yzc2Ti78292R71KiR7f2cuoOFJsnnApSWbSxzsae7ab8XRA+BIHaCaSVwr3eg==" saltValue="DrSQ612gWLi1ddRWQ2oiMA==" spinCount="100000" sheet="1" objects="1" scenarios="1"/>
  <phoneticPr fontId="0" type="noConversion"/>
  <printOptions horizontalCentered="1"/>
  <pageMargins left="0" right="0" top="1.05" bottom="0" header="0.38" footer="0.3"/>
  <pageSetup scale="59" orientation="portrait" r:id="rId1"/>
  <headerFooter alignWithMargins="0">
    <oddHeader>&amp;C&amp;"Arial MT,Bold"&amp;10CVR ENGINEERING
BUDGETED BALANCE SHEET
 December 31, 2024&amp;R&amp;"Arial MT,Bold"&amp;8&amp;F
&amp;D
&amp;T</oddHeader>
  </headerFooter>
  <rowBreaks count="1" manualBreakCount="1">
    <brk id="31" max="655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92D050"/>
  </sheetPr>
  <dimension ref="A1:Q66"/>
  <sheetViews>
    <sheetView zoomScale="80" zoomScaleNormal="80" workbookViewId="0">
      <selection activeCell="C1" sqref="C1:C1048576"/>
    </sheetView>
  </sheetViews>
  <sheetFormatPr defaultRowHeight="15"/>
  <cols>
    <col min="1" max="1" width="50" customWidth="1"/>
    <col min="2" max="2" width="11" customWidth="1"/>
    <col min="3" max="3" width="12.109375" customWidth="1"/>
    <col min="4" max="4" width="11" customWidth="1"/>
    <col min="5" max="5" width="5.109375" customWidth="1"/>
    <col min="6" max="6" width="11.77734375" customWidth="1"/>
    <col min="7" max="7" width="10" bestFit="1" customWidth="1"/>
  </cols>
  <sheetData>
    <row r="1" spans="1:17" ht="15.75">
      <c r="A1" s="1"/>
      <c r="B1" s="7" t="s">
        <v>32</v>
      </c>
      <c r="C1" s="7"/>
      <c r="D1" s="6" t="s">
        <v>32</v>
      </c>
      <c r="E1" s="7"/>
      <c r="F1" s="7" t="s">
        <v>0</v>
      </c>
    </row>
    <row r="2" spans="1:17" ht="15.75">
      <c r="A2" s="1"/>
      <c r="B2" s="6" t="s">
        <v>104</v>
      </c>
      <c r="C2" s="13"/>
      <c r="D2" s="6" t="s">
        <v>104</v>
      </c>
      <c r="E2" s="13"/>
      <c r="F2" s="7" t="s">
        <v>42</v>
      </c>
    </row>
    <row r="3" spans="1:17" ht="15.75">
      <c r="A3" s="1"/>
      <c r="B3" s="31">
        <v>46022</v>
      </c>
      <c r="C3" s="9" t="s">
        <v>43</v>
      </c>
      <c r="D3" s="31">
        <f>+CVRBS!D3</f>
        <v>46022</v>
      </c>
      <c r="E3" s="6"/>
      <c r="F3" s="31">
        <f>+CVRBS!F3</f>
        <v>46387</v>
      </c>
    </row>
    <row r="4" spans="1:17" ht="15.75">
      <c r="A4" s="25" t="s">
        <v>79</v>
      </c>
      <c r="B4" s="2"/>
      <c r="C4" s="2"/>
      <c r="D4" s="2"/>
      <c r="E4" s="2"/>
    </row>
    <row r="5" spans="1:17">
      <c r="A5" s="26" t="s">
        <v>80</v>
      </c>
      <c r="B5" s="19">
        <v>-487054</v>
      </c>
      <c r="C5" s="19">
        <f>CVRBS!C63</f>
        <v>0</v>
      </c>
      <c r="D5" s="19">
        <f>SUM(B5:C5)</f>
        <v>-487054</v>
      </c>
      <c r="E5" s="19"/>
      <c r="F5" s="19">
        <f>+CVRIS!T73</f>
        <v>139398.55735422112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>
      <c r="A6" s="26" t="s">
        <v>81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>
      <c r="A7" s="199" t="s">
        <v>219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>
      <c r="A8" s="200" t="s">
        <v>88</v>
      </c>
      <c r="B8" s="19">
        <v>0</v>
      </c>
      <c r="C8" s="19">
        <f>-CVRBS!C23</f>
        <v>0</v>
      </c>
      <c r="D8" s="19">
        <f>SUM(B8:C8)</f>
        <v>0</v>
      </c>
      <c r="E8" s="19"/>
      <c r="F8" s="19">
        <f>-CVRBS!F23</f>
        <v>0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>
      <c r="A9" s="200" t="s">
        <v>220</v>
      </c>
      <c r="B9" s="19">
        <v>0</v>
      </c>
      <c r="C9" s="19">
        <v>0</v>
      </c>
      <c r="D9" s="19">
        <f>SUM(B9:C9)</f>
        <v>0</v>
      </c>
      <c r="E9" s="19"/>
      <c r="F9" s="19">
        <f>+CVRIS!T66</f>
        <v>0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>
      <c r="A10" s="1" t="s">
        <v>221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>
      <c r="A11" s="200" t="s">
        <v>222</v>
      </c>
      <c r="B11" s="19">
        <v>-22899</v>
      </c>
      <c r="C11" s="19">
        <v>0</v>
      </c>
      <c r="D11" s="19">
        <f t="shared" ref="D11:D17" si="0">SUM(B11:C11)</f>
        <v>-22899</v>
      </c>
      <c r="E11" s="19"/>
      <c r="F11" s="19">
        <f>-CVRBS!E8</f>
        <v>10886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>
      <c r="A12" s="200" t="s">
        <v>223</v>
      </c>
      <c r="B12" s="19">
        <v>0</v>
      </c>
      <c r="C12" s="19">
        <v>0</v>
      </c>
      <c r="D12" s="19">
        <f t="shared" si="0"/>
        <v>0</v>
      </c>
      <c r="E12" s="19"/>
      <c r="F12" s="19">
        <f>-CVRBS!E9</f>
        <v>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>
      <c r="A13" s="200" t="s">
        <v>100</v>
      </c>
      <c r="B13" s="19">
        <v>0</v>
      </c>
      <c r="C13" s="19">
        <v>0</v>
      </c>
      <c r="D13" s="19">
        <f t="shared" si="0"/>
        <v>0</v>
      </c>
      <c r="E13" s="19"/>
      <c r="F13" s="19">
        <f>-CVRBS!E10</f>
        <v>0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>
      <c r="A14" s="200" t="s">
        <v>218</v>
      </c>
      <c r="B14" s="19">
        <v>0</v>
      </c>
      <c r="C14" s="19">
        <v>0</v>
      </c>
      <c r="D14" s="19">
        <f t="shared" si="0"/>
        <v>0</v>
      </c>
      <c r="E14" s="19"/>
      <c r="F14" s="19">
        <v>0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>
      <c r="A15" s="201" t="s">
        <v>224</v>
      </c>
      <c r="B15" s="19">
        <v>-6000</v>
      </c>
      <c r="C15" s="19">
        <v>0</v>
      </c>
      <c r="D15" s="19">
        <f t="shared" si="0"/>
        <v>-6000</v>
      </c>
      <c r="E15" s="19"/>
      <c r="F15" s="19">
        <f>-CVRBS!E13</f>
        <v>0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>
      <c r="A16" s="201" t="s">
        <v>59</v>
      </c>
      <c r="B16" s="19">
        <v>-81</v>
      </c>
      <c r="C16" s="19">
        <v>0</v>
      </c>
      <c r="D16" s="19">
        <f t="shared" si="0"/>
        <v>-81</v>
      </c>
      <c r="E16" s="19"/>
      <c r="F16" s="19">
        <f>CVRBS!E37</f>
        <v>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1:17">
      <c r="A17" s="201" t="s">
        <v>225</v>
      </c>
      <c r="B17" s="19">
        <v>34037</v>
      </c>
      <c r="C17" s="19">
        <v>0</v>
      </c>
      <c r="D17" s="19">
        <f t="shared" si="0"/>
        <v>34037</v>
      </c>
      <c r="E17" s="19"/>
      <c r="F17" s="19">
        <f>SUM(CVRBS!E38:E46)</f>
        <v>7497.4315000000061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1:17">
      <c r="A18" s="200" t="s">
        <v>101</v>
      </c>
      <c r="B18" s="19">
        <v>0</v>
      </c>
      <c r="C18" s="19">
        <v>0</v>
      </c>
      <c r="D18" s="19">
        <f>SUM(B18:C18)</f>
        <v>0</v>
      </c>
      <c r="E18" s="19"/>
      <c r="F18" s="19">
        <f>CVRBS!E47</f>
        <v>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1:17" ht="15.75">
      <c r="A19" s="11" t="s">
        <v>82</v>
      </c>
      <c r="B19" s="21">
        <f>SUM(B5:B18)</f>
        <v>-481997</v>
      </c>
      <c r="C19" s="21">
        <f>SUM(C5:C18)</f>
        <v>0</v>
      </c>
      <c r="D19" s="21">
        <f>SUM(D5:D18)</f>
        <v>-481997</v>
      </c>
      <c r="E19" s="19"/>
      <c r="F19" s="21">
        <f>SUM(F5:F18)</f>
        <v>157781.98885422113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spans="1:17" ht="15.75">
      <c r="A21" s="11" t="s">
        <v>83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spans="1:17">
      <c r="A22" s="201" t="s">
        <v>226</v>
      </c>
      <c r="B22" s="19">
        <v>0</v>
      </c>
      <c r="C22" s="19">
        <v>0</v>
      </c>
      <c r="D22" s="19">
        <f>SUM(B22:C22)</f>
        <v>0</v>
      </c>
      <c r="E22" s="19"/>
      <c r="F22" s="19">
        <v>0</v>
      </c>
      <c r="G22" s="19"/>
      <c r="I22" s="19"/>
      <c r="J22" s="19"/>
      <c r="K22" s="19"/>
      <c r="L22" s="19"/>
      <c r="M22" s="19"/>
      <c r="N22" s="19"/>
      <c r="O22" s="19"/>
      <c r="P22" s="19"/>
      <c r="Q22" s="19"/>
    </row>
    <row r="23" spans="1:17">
      <c r="A23" s="201" t="s">
        <v>227</v>
      </c>
      <c r="B23" s="19">
        <v>0</v>
      </c>
      <c r="C23" s="19">
        <v>0</v>
      </c>
      <c r="D23" s="19">
        <f>SUM(B23:C23)</f>
        <v>0</v>
      </c>
      <c r="E23" s="19"/>
      <c r="F23" s="19">
        <f>+-CVRBS!E28</f>
        <v>0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spans="1:17">
      <c r="A24" s="201" t="s">
        <v>228</v>
      </c>
      <c r="B24" s="19">
        <v>0</v>
      </c>
      <c r="C24" s="19">
        <v>0</v>
      </c>
      <c r="D24" s="19">
        <f>SUM(B24:C24)</f>
        <v>0</v>
      </c>
      <c r="E24" s="19"/>
      <c r="F24" s="19">
        <v>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1:17">
      <c r="A25" s="201" t="s">
        <v>229</v>
      </c>
      <c r="B25" s="19">
        <v>0</v>
      </c>
      <c r="C25" s="19">
        <v>0</v>
      </c>
      <c r="D25" s="19">
        <f>SUM(B25:C25)</f>
        <v>0</v>
      </c>
      <c r="E25" s="19"/>
      <c r="F25" s="19">
        <v>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</row>
    <row r="26" spans="1:17" ht="15.75">
      <c r="A26" s="11" t="s">
        <v>84</v>
      </c>
      <c r="B26" s="21">
        <f>SUM(B22:B25)</f>
        <v>0</v>
      </c>
      <c r="C26" s="21">
        <f>SUM(C22:C25)</f>
        <v>0</v>
      </c>
      <c r="D26" s="21">
        <f>SUM(D22:D25)</f>
        <v>0</v>
      </c>
      <c r="E26" s="19"/>
      <c r="F26" s="21">
        <f>SUM(F22:F25)</f>
        <v>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1:17" ht="15.75">
      <c r="A27" s="1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spans="1:17" ht="15.75">
      <c r="A28" s="11" t="s">
        <v>85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spans="1:17">
      <c r="A29" s="201" t="s">
        <v>262</v>
      </c>
      <c r="B29" s="19">
        <v>0</v>
      </c>
      <c r="C29" s="19">
        <v>0</v>
      </c>
      <c r="D29" s="19">
        <f>SUM(B29:C29)</f>
        <v>0</v>
      </c>
      <c r="E29" s="19"/>
      <c r="F29" s="19">
        <v>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</row>
    <row r="30" spans="1:17">
      <c r="A30" s="201" t="s">
        <v>301</v>
      </c>
      <c r="B30" s="19">
        <v>0</v>
      </c>
      <c r="C30" s="19">
        <v>0</v>
      </c>
      <c r="D30" s="19">
        <f>SUM(B30:C30)</f>
        <v>0</v>
      </c>
      <c r="E30" s="19"/>
      <c r="F30" s="19">
        <v>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7">
      <c r="A31" s="201" t="s">
        <v>230</v>
      </c>
      <c r="B31" s="19">
        <v>481997</v>
      </c>
      <c r="C31" s="19">
        <v>0</v>
      </c>
      <c r="D31" s="19">
        <f>SUM(B31:C31)</f>
        <v>481997</v>
      </c>
      <c r="E31" s="19"/>
      <c r="F31" s="19">
        <v>-157782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spans="1:17">
      <c r="A32" s="201" t="s">
        <v>231</v>
      </c>
      <c r="B32" s="19">
        <v>0</v>
      </c>
      <c r="C32" s="19">
        <v>0</v>
      </c>
      <c r="D32" s="19">
        <f>SUM(B32:C32)</f>
        <v>0</v>
      </c>
      <c r="E32" s="19"/>
      <c r="F32" s="19">
        <v>0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spans="1:17" ht="15.75">
      <c r="A33" s="11" t="s">
        <v>86</v>
      </c>
      <c r="B33" s="21">
        <f>SUM(B29:B32)</f>
        <v>481997</v>
      </c>
      <c r="C33" s="21">
        <f>SUM(C29:C32)</f>
        <v>0</v>
      </c>
      <c r="D33" s="21">
        <f>SUM(D29:D32)</f>
        <v>481997</v>
      </c>
      <c r="E33" s="19"/>
      <c r="F33" s="21">
        <f>SUM(F29:F32)</f>
        <v>-157782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spans="1:17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spans="1:17" ht="15.75">
      <c r="A35" s="11" t="s">
        <v>87</v>
      </c>
      <c r="B35" s="19">
        <f>B19+B26+B33</f>
        <v>0</v>
      </c>
      <c r="C35" s="19">
        <f>C19+C26+C33</f>
        <v>0</v>
      </c>
      <c r="D35" s="19">
        <f>D19+D26+D33</f>
        <v>0</v>
      </c>
      <c r="E35" s="19"/>
      <c r="F35" s="19">
        <f>F19+F26+F33</f>
        <v>-1.1145778873469681E-2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spans="1:17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spans="1:17" ht="15.75">
      <c r="A37" s="11" t="s">
        <v>102</v>
      </c>
      <c r="B37" s="20">
        <v>0</v>
      </c>
      <c r="C37" s="20">
        <v>0</v>
      </c>
      <c r="D37" s="20">
        <f>B37</f>
        <v>0</v>
      </c>
      <c r="E37" s="19"/>
      <c r="F37" s="20">
        <f>D39</f>
        <v>0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spans="1:17">
      <c r="B38" s="22"/>
      <c r="C38" s="22" t="s">
        <v>10</v>
      </c>
      <c r="D38" s="22" t="s">
        <v>10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7" ht="16.5" thickBot="1">
      <c r="A39" s="11" t="s">
        <v>103</v>
      </c>
      <c r="B39" s="27">
        <f>(B35+B37)</f>
        <v>0</v>
      </c>
      <c r="C39" s="27">
        <f>(C35+C37)</f>
        <v>0</v>
      </c>
      <c r="D39" s="27">
        <f>(D35+D37)</f>
        <v>0</v>
      </c>
      <c r="E39" s="19"/>
      <c r="F39" s="27">
        <f>(F35+F37)</f>
        <v>-1.1145778873469681E-2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ht="15.75" thickTop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  <row r="41" spans="1:17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spans="1:17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spans="1:17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</row>
    <row r="44" spans="1:17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spans="1:17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</row>
    <row r="46" spans="1:17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17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</row>
    <row r="48" spans="1:17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</row>
    <row r="49" spans="2:17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</row>
    <row r="50" spans="2:17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spans="2:17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spans="2:17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2:17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spans="2:17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</row>
    <row r="55" spans="2:17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spans="2:17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</row>
    <row r="57" spans="2:17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spans="2:17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</row>
    <row r="59" spans="2:17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spans="2:17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spans="2:17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</row>
    <row r="62" spans="2:17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</row>
    <row r="63" spans="2:17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</row>
    <row r="64" spans="2:17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</row>
    <row r="65" spans="2:17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</row>
    <row r="66" spans="2:17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</row>
  </sheetData>
  <sheetProtection algorithmName="SHA-512" hashValue="pWvYW+Nu+20uRv5hhPPbNZ1uDbsHz0T5N2OQBzs1Qz+cXf+nLU7w+JJChjWTKINKF1D4jKdH0jR9ZHsfM/pnEQ==" saltValue="/Zf3XXh2+lMBwVFmUQYFeQ==" spinCount="100000" sheet="1" objects="1" scenarios="1"/>
  <phoneticPr fontId="0" type="noConversion"/>
  <printOptions horizontalCentered="1"/>
  <pageMargins left="0" right="0" top="1.05" bottom="0" header="0.38" footer="0.3"/>
  <pageSetup scale="75" orientation="portrait" r:id="rId1"/>
  <headerFooter alignWithMargins="0">
    <oddHeader>&amp;C&amp;"Arial MT,Bold"&amp;10CVR ENGINEERING LLC
BUDGETED STATEMENT OF CASH FLOWS
For the Twelve Months Ended December 31, 2024&amp;R&amp;"Arial MT,Bold"&amp;8&amp;F
&amp;D
&amp;T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EBF4-52EA-4389-998B-DC70DA999A6C}">
  <sheetPr>
    <tabColor rgb="FF92D050"/>
  </sheetPr>
  <dimension ref="A1:X24"/>
  <sheetViews>
    <sheetView zoomScale="120" zoomScaleNormal="120" workbookViewId="0">
      <pane xSplit="4" ySplit="1" topLeftCell="Q2" activePane="bottomRight" state="frozen"/>
      <selection activeCell="P32" sqref="P32"/>
      <selection pane="topRight" activeCell="P32" sqref="P32"/>
      <selection pane="bottomLeft" activeCell="P32" sqref="P32"/>
      <selection pane="bottomRight" activeCell="S25" sqref="S25"/>
    </sheetView>
  </sheetViews>
  <sheetFormatPr defaultRowHeight="15"/>
  <cols>
    <col min="1" max="1" width="10.88671875" style="263" bestFit="1" customWidth="1"/>
    <col min="2" max="2" width="11.77734375" style="263" bestFit="1" customWidth="1"/>
    <col min="3" max="3" width="13.6640625" style="263" bestFit="1" customWidth="1"/>
    <col min="4" max="4" width="13.109375" style="263" bestFit="1" customWidth="1"/>
    <col min="5" max="5" width="19.109375" style="267" bestFit="1" customWidth="1"/>
    <col min="6" max="6" width="18.21875" style="267" customWidth="1"/>
    <col min="7" max="7" width="18.5546875" style="263" customWidth="1"/>
    <col min="8" max="8" width="17" style="263" customWidth="1"/>
    <col min="9" max="9" width="16.88671875" style="263" bestFit="1" customWidth="1"/>
    <col min="10" max="10" width="6.77734375" style="263" bestFit="1" customWidth="1"/>
    <col min="11" max="11" width="10.109375" style="263" bestFit="1" customWidth="1"/>
    <col min="12" max="12" width="7.77734375" style="263" bestFit="1" customWidth="1"/>
    <col min="13" max="13" width="12.33203125" style="266" bestFit="1" customWidth="1"/>
    <col min="14" max="14" width="20.88671875" style="266" bestFit="1" customWidth="1"/>
    <col min="15" max="15" width="9" style="263" bestFit="1" customWidth="1"/>
    <col min="16" max="16" width="8.77734375" style="263" bestFit="1" customWidth="1"/>
    <col min="17" max="17" width="15.77734375" style="266" bestFit="1" customWidth="1"/>
    <col min="18" max="18" width="12" style="266" bestFit="1" customWidth="1"/>
    <col min="19" max="19" width="12.6640625" style="263" bestFit="1" customWidth="1"/>
    <col min="20" max="20" width="16" style="266" bestFit="1" customWidth="1"/>
    <col min="21" max="21" width="13.6640625" style="266" customWidth="1"/>
    <col min="22" max="22" width="14.109375" style="263" customWidth="1"/>
    <col min="23" max="23" width="10.44140625" style="263" customWidth="1"/>
    <col min="24" max="24" width="6.88671875" style="263" customWidth="1"/>
    <col min="25" max="254" width="8.77734375" style="263"/>
    <col min="255" max="255" width="10.88671875" style="263" bestFit="1" customWidth="1"/>
    <col min="256" max="256" width="8.21875" style="263" bestFit="1" customWidth="1"/>
    <col min="257" max="257" width="0" style="263" hidden="1" customWidth="1"/>
    <col min="258" max="258" width="23.33203125" style="263" bestFit="1" customWidth="1"/>
    <col min="259" max="259" width="14.77734375" style="263" bestFit="1" customWidth="1"/>
    <col min="260" max="260" width="6.6640625" style="263" bestFit="1" customWidth="1"/>
    <col min="261" max="261" width="14.44140625" style="263" customWidth="1"/>
    <col min="262" max="262" width="18.21875" style="263" customWidth="1"/>
    <col min="263" max="263" width="18.5546875" style="263" customWidth="1"/>
    <col min="264" max="264" width="17" style="263" customWidth="1"/>
    <col min="265" max="265" width="9.44140625" style="263" customWidth="1"/>
    <col min="266" max="266" width="3.21875" style="263" customWidth="1"/>
    <col min="267" max="267" width="6.5546875" style="263" customWidth="1"/>
    <col min="268" max="268" width="4.21875" style="263" customWidth="1"/>
    <col min="269" max="269" width="8.77734375" style="263"/>
    <col min="270" max="270" width="17.44140625" style="263" customWidth="1"/>
    <col min="271" max="271" width="7.44140625" style="263" customWidth="1"/>
    <col min="272" max="272" width="8.21875" style="263" customWidth="1"/>
    <col min="273" max="273" width="11.21875" style="263" customWidth="1"/>
    <col min="274" max="274" width="9" style="263" customWidth="1"/>
    <col min="275" max="275" width="8.77734375" style="263"/>
    <col min="276" max="276" width="11.21875" style="263" customWidth="1"/>
    <col min="277" max="277" width="13.6640625" style="263" customWidth="1"/>
    <col min="278" max="278" width="14.109375" style="263" customWidth="1"/>
    <col min="279" max="279" width="10.44140625" style="263" customWidth="1"/>
    <col min="280" max="280" width="6.88671875" style="263" customWidth="1"/>
    <col min="281" max="510" width="8.77734375" style="263"/>
    <col min="511" max="511" width="10.88671875" style="263" bestFit="1" customWidth="1"/>
    <col min="512" max="512" width="8.21875" style="263" bestFit="1" customWidth="1"/>
    <col min="513" max="513" width="0" style="263" hidden="1" customWidth="1"/>
    <col min="514" max="514" width="23.33203125" style="263" bestFit="1" customWidth="1"/>
    <col min="515" max="515" width="14.77734375" style="263" bestFit="1" customWidth="1"/>
    <col min="516" max="516" width="6.6640625" style="263" bestFit="1" customWidth="1"/>
    <col min="517" max="517" width="14.44140625" style="263" customWidth="1"/>
    <col min="518" max="518" width="18.21875" style="263" customWidth="1"/>
    <col min="519" max="519" width="18.5546875" style="263" customWidth="1"/>
    <col min="520" max="520" width="17" style="263" customWidth="1"/>
    <col min="521" max="521" width="9.44140625" style="263" customWidth="1"/>
    <col min="522" max="522" width="3.21875" style="263" customWidth="1"/>
    <col min="523" max="523" width="6.5546875" style="263" customWidth="1"/>
    <col min="524" max="524" width="4.21875" style="263" customWidth="1"/>
    <col min="525" max="525" width="8.77734375" style="263"/>
    <col min="526" max="526" width="17.44140625" style="263" customWidth="1"/>
    <col min="527" max="527" width="7.44140625" style="263" customWidth="1"/>
    <col min="528" max="528" width="8.21875" style="263" customWidth="1"/>
    <col min="529" max="529" width="11.21875" style="263" customWidth="1"/>
    <col min="530" max="530" width="9" style="263" customWidth="1"/>
    <col min="531" max="531" width="8.77734375" style="263"/>
    <col min="532" max="532" width="11.21875" style="263" customWidth="1"/>
    <col min="533" max="533" width="13.6640625" style="263" customWidth="1"/>
    <col min="534" max="534" width="14.109375" style="263" customWidth="1"/>
    <col min="535" max="535" width="10.44140625" style="263" customWidth="1"/>
    <col min="536" max="536" width="6.88671875" style="263" customWidth="1"/>
    <col min="537" max="766" width="8.77734375" style="263"/>
    <col min="767" max="767" width="10.88671875" style="263" bestFit="1" customWidth="1"/>
    <col min="768" max="768" width="8.21875" style="263" bestFit="1" customWidth="1"/>
    <col min="769" max="769" width="0" style="263" hidden="1" customWidth="1"/>
    <col min="770" max="770" width="23.33203125" style="263" bestFit="1" customWidth="1"/>
    <col min="771" max="771" width="14.77734375" style="263" bestFit="1" customWidth="1"/>
    <col min="772" max="772" width="6.6640625" style="263" bestFit="1" customWidth="1"/>
    <col min="773" max="773" width="14.44140625" style="263" customWidth="1"/>
    <col min="774" max="774" width="18.21875" style="263" customWidth="1"/>
    <col min="775" max="775" width="18.5546875" style="263" customWidth="1"/>
    <col min="776" max="776" width="17" style="263" customWidth="1"/>
    <col min="777" max="777" width="9.44140625" style="263" customWidth="1"/>
    <col min="778" max="778" width="3.21875" style="263" customWidth="1"/>
    <col min="779" max="779" width="6.5546875" style="263" customWidth="1"/>
    <col min="780" max="780" width="4.21875" style="263" customWidth="1"/>
    <col min="781" max="781" width="8.77734375" style="263"/>
    <col min="782" max="782" width="17.44140625" style="263" customWidth="1"/>
    <col min="783" max="783" width="7.44140625" style="263" customWidth="1"/>
    <col min="784" max="784" width="8.21875" style="263" customWidth="1"/>
    <col min="785" max="785" width="11.21875" style="263" customWidth="1"/>
    <col min="786" max="786" width="9" style="263" customWidth="1"/>
    <col min="787" max="787" width="8.77734375" style="263"/>
    <col min="788" max="788" width="11.21875" style="263" customWidth="1"/>
    <col min="789" max="789" width="13.6640625" style="263" customWidth="1"/>
    <col min="790" max="790" width="14.109375" style="263" customWidth="1"/>
    <col min="791" max="791" width="10.44140625" style="263" customWidth="1"/>
    <col min="792" max="792" width="6.88671875" style="263" customWidth="1"/>
    <col min="793" max="1022" width="8.77734375" style="263"/>
    <col min="1023" max="1023" width="10.88671875" style="263" bestFit="1" customWidth="1"/>
    <col min="1024" max="1024" width="8.21875" style="263" bestFit="1" customWidth="1"/>
    <col min="1025" max="1025" width="0" style="263" hidden="1" customWidth="1"/>
    <col min="1026" max="1026" width="23.33203125" style="263" bestFit="1" customWidth="1"/>
    <col min="1027" max="1027" width="14.77734375" style="263" bestFit="1" customWidth="1"/>
    <col min="1028" max="1028" width="6.6640625" style="263" bestFit="1" customWidth="1"/>
    <col min="1029" max="1029" width="14.44140625" style="263" customWidth="1"/>
    <col min="1030" max="1030" width="18.21875" style="263" customWidth="1"/>
    <col min="1031" max="1031" width="18.5546875" style="263" customWidth="1"/>
    <col min="1032" max="1032" width="17" style="263" customWidth="1"/>
    <col min="1033" max="1033" width="9.44140625" style="263" customWidth="1"/>
    <col min="1034" max="1034" width="3.21875" style="263" customWidth="1"/>
    <col min="1035" max="1035" width="6.5546875" style="263" customWidth="1"/>
    <col min="1036" max="1036" width="4.21875" style="263" customWidth="1"/>
    <col min="1037" max="1037" width="8.77734375" style="263"/>
    <col min="1038" max="1038" width="17.44140625" style="263" customWidth="1"/>
    <col min="1039" max="1039" width="7.44140625" style="263" customWidth="1"/>
    <col min="1040" max="1040" width="8.21875" style="263" customWidth="1"/>
    <col min="1041" max="1041" width="11.21875" style="263" customWidth="1"/>
    <col min="1042" max="1042" width="9" style="263" customWidth="1"/>
    <col min="1043" max="1043" width="8.77734375" style="263"/>
    <col min="1044" max="1044" width="11.21875" style="263" customWidth="1"/>
    <col min="1045" max="1045" width="13.6640625" style="263" customWidth="1"/>
    <col min="1046" max="1046" width="14.109375" style="263" customWidth="1"/>
    <col min="1047" max="1047" width="10.44140625" style="263" customWidth="1"/>
    <col min="1048" max="1048" width="6.88671875" style="263" customWidth="1"/>
    <col min="1049" max="1278" width="8.77734375" style="263"/>
    <col min="1279" max="1279" width="10.88671875" style="263" bestFit="1" customWidth="1"/>
    <col min="1280" max="1280" width="8.21875" style="263" bestFit="1" customWidth="1"/>
    <col min="1281" max="1281" width="0" style="263" hidden="1" customWidth="1"/>
    <col min="1282" max="1282" width="23.33203125" style="263" bestFit="1" customWidth="1"/>
    <col min="1283" max="1283" width="14.77734375" style="263" bestFit="1" customWidth="1"/>
    <col min="1284" max="1284" width="6.6640625" style="263" bestFit="1" customWidth="1"/>
    <col min="1285" max="1285" width="14.44140625" style="263" customWidth="1"/>
    <col min="1286" max="1286" width="18.21875" style="263" customWidth="1"/>
    <col min="1287" max="1287" width="18.5546875" style="263" customWidth="1"/>
    <col min="1288" max="1288" width="17" style="263" customWidth="1"/>
    <col min="1289" max="1289" width="9.44140625" style="263" customWidth="1"/>
    <col min="1290" max="1290" width="3.21875" style="263" customWidth="1"/>
    <col min="1291" max="1291" width="6.5546875" style="263" customWidth="1"/>
    <col min="1292" max="1292" width="4.21875" style="263" customWidth="1"/>
    <col min="1293" max="1293" width="8.77734375" style="263"/>
    <col min="1294" max="1294" width="17.44140625" style="263" customWidth="1"/>
    <col min="1295" max="1295" width="7.44140625" style="263" customWidth="1"/>
    <col min="1296" max="1296" width="8.21875" style="263" customWidth="1"/>
    <col min="1297" max="1297" width="11.21875" style="263" customWidth="1"/>
    <col min="1298" max="1298" width="9" style="263" customWidth="1"/>
    <col min="1299" max="1299" width="8.77734375" style="263"/>
    <col min="1300" max="1300" width="11.21875" style="263" customWidth="1"/>
    <col min="1301" max="1301" width="13.6640625" style="263" customWidth="1"/>
    <col min="1302" max="1302" width="14.109375" style="263" customWidth="1"/>
    <col min="1303" max="1303" width="10.44140625" style="263" customWidth="1"/>
    <col min="1304" max="1304" width="6.88671875" style="263" customWidth="1"/>
    <col min="1305" max="1534" width="8.77734375" style="263"/>
    <col min="1535" max="1535" width="10.88671875" style="263" bestFit="1" customWidth="1"/>
    <col min="1536" max="1536" width="8.21875" style="263" bestFit="1" customWidth="1"/>
    <col min="1537" max="1537" width="0" style="263" hidden="1" customWidth="1"/>
    <col min="1538" max="1538" width="23.33203125" style="263" bestFit="1" customWidth="1"/>
    <col min="1539" max="1539" width="14.77734375" style="263" bestFit="1" customWidth="1"/>
    <col min="1540" max="1540" width="6.6640625" style="263" bestFit="1" customWidth="1"/>
    <col min="1541" max="1541" width="14.44140625" style="263" customWidth="1"/>
    <col min="1542" max="1542" width="18.21875" style="263" customWidth="1"/>
    <col min="1543" max="1543" width="18.5546875" style="263" customWidth="1"/>
    <col min="1544" max="1544" width="17" style="263" customWidth="1"/>
    <col min="1545" max="1545" width="9.44140625" style="263" customWidth="1"/>
    <col min="1546" max="1546" width="3.21875" style="263" customWidth="1"/>
    <col min="1547" max="1547" width="6.5546875" style="263" customWidth="1"/>
    <col min="1548" max="1548" width="4.21875" style="263" customWidth="1"/>
    <col min="1549" max="1549" width="8.77734375" style="263"/>
    <col min="1550" max="1550" width="17.44140625" style="263" customWidth="1"/>
    <col min="1551" max="1551" width="7.44140625" style="263" customWidth="1"/>
    <col min="1552" max="1552" width="8.21875" style="263" customWidth="1"/>
    <col min="1553" max="1553" width="11.21875" style="263" customWidth="1"/>
    <col min="1554" max="1554" width="9" style="263" customWidth="1"/>
    <col min="1555" max="1555" width="8.77734375" style="263"/>
    <col min="1556" max="1556" width="11.21875" style="263" customWidth="1"/>
    <col min="1557" max="1557" width="13.6640625" style="263" customWidth="1"/>
    <col min="1558" max="1558" width="14.109375" style="263" customWidth="1"/>
    <col min="1559" max="1559" width="10.44140625" style="263" customWidth="1"/>
    <col min="1560" max="1560" width="6.88671875" style="263" customWidth="1"/>
    <col min="1561" max="1790" width="8.77734375" style="263"/>
    <col min="1791" max="1791" width="10.88671875" style="263" bestFit="1" customWidth="1"/>
    <col min="1792" max="1792" width="8.21875" style="263" bestFit="1" customWidth="1"/>
    <col min="1793" max="1793" width="0" style="263" hidden="1" customWidth="1"/>
    <col min="1794" max="1794" width="23.33203125" style="263" bestFit="1" customWidth="1"/>
    <col min="1795" max="1795" width="14.77734375" style="263" bestFit="1" customWidth="1"/>
    <col min="1796" max="1796" width="6.6640625" style="263" bestFit="1" customWidth="1"/>
    <col min="1797" max="1797" width="14.44140625" style="263" customWidth="1"/>
    <col min="1798" max="1798" width="18.21875" style="263" customWidth="1"/>
    <col min="1799" max="1799" width="18.5546875" style="263" customWidth="1"/>
    <col min="1800" max="1800" width="17" style="263" customWidth="1"/>
    <col min="1801" max="1801" width="9.44140625" style="263" customWidth="1"/>
    <col min="1802" max="1802" width="3.21875" style="263" customWidth="1"/>
    <col min="1803" max="1803" width="6.5546875" style="263" customWidth="1"/>
    <col min="1804" max="1804" width="4.21875" style="263" customWidth="1"/>
    <col min="1805" max="1805" width="8.77734375" style="263"/>
    <col min="1806" max="1806" width="17.44140625" style="263" customWidth="1"/>
    <col min="1807" max="1807" width="7.44140625" style="263" customWidth="1"/>
    <col min="1808" max="1808" width="8.21875" style="263" customWidth="1"/>
    <col min="1809" max="1809" width="11.21875" style="263" customWidth="1"/>
    <col min="1810" max="1810" width="9" style="263" customWidth="1"/>
    <col min="1811" max="1811" width="8.77734375" style="263"/>
    <col min="1812" max="1812" width="11.21875" style="263" customWidth="1"/>
    <col min="1813" max="1813" width="13.6640625" style="263" customWidth="1"/>
    <col min="1814" max="1814" width="14.109375" style="263" customWidth="1"/>
    <col min="1815" max="1815" width="10.44140625" style="263" customWidth="1"/>
    <col min="1816" max="1816" width="6.88671875" style="263" customWidth="1"/>
    <col min="1817" max="2046" width="8.77734375" style="263"/>
    <col min="2047" max="2047" width="10.88671875" style="263" bestFit="1" customWidth="1"/>
    <col min="2048" max="2048" width="8.21875" style="263" bestFit="1" customWidth="1"/>
    <col min="2049" max="2049" width="0" style="263" hidden="1" customWidth="1"/>
    <col min="2050" max="2050" width="23.33203125" style="263" bestFit="1" customWidth="1"/>
    <col min="2051" max="2051" width="14.77734375" style="263" bestFit="1" customWidth="1"/>
    <col min="2052" max="2052" width="6.6640625" style="263" bestFit="1" customWidth="1"/>
    <col min="2053" max="2053" width="14.44140625" style="263" customWidth="1"/>
    <col min="2054" max="2054" width="18.21875" style="263" customWidth="1"/>
    <col min="2055" max="2055" width="18.5546875" style="263" customWidth="1"/>
    <col min="2056" max="2056" width="17" style="263" customWidth="1"/>
    <col min="2057" max="2057" width="9.44140625" style="263" customWidth="1"/>
    <col min="2058" max="2058" width="3.21875" style="263" customWidth="1"/>
    <col min="2059" max="2059" width="6.5546875" style="263" customWidth="1"/>
    <col min="2060" max="2060" width="4.21875" style="263" customWidth="1"/>
    <col min="2061" max="2061" width="8.77734375" style="263"/>
    <col min="2062" max="2062" width="17.44140625" style="263" customWidth="1"/>
    <col min="2063" max="2063" width="7.44140625" style="263" customWidth="1"/>
    <col min="2064" max="2064" width="8.21875" style="263" customWidth="1"/>
    <col min="2065" max="2065" width="11.21875" style="263" customWidth="1"/>
    <col min="2066" max="2066" width="9" style="263" customWidth="1"/>
    <col min="2067" max="2067" width="8.77734375" style="263"/>
    <col min="2068" max="2068" width="11.21875" style="263" customWidth="1"/>
    <col min="2069" max="2069" width="13.6640625" style="263" customWidth="1"/>
    <col min="2070" max="2070" width="14.109375" style="263" customWidth="1"/>
    <col min="2071" max="2071" width="10.44140625" style="263" customWidth="1"/>
    <col min="2072" max="2072" width="6.88671875" style="263" customWidth="1"/>
    <col min="2073" max="2302" width="8.77734375" style="263"/>
    <col min="2303" max="2303" width="10.88671875" style="263" bestFit="1" customWidth="1"/>
    <col min="2304" max="2304" width="8.21875" style="263" bestFit="1" customWidth="1"/>
    <col min="2305" max="2305" width="0" style="263" hidden="1" customWidth="1"/>
    <col min="2306" max="2306" width="23.33203125" style="263" bestFit="1" customWidth="1"/>
    <col min="2307" max="2307" width="14.77734375" style="263" bestFit="1" customWidth="1"/>
    <col min="2308" max="2308" width="6.6640625" style="263" bestFit="1" customWidth="1"/>
    <col min="2309" max="2309" width="14.44140625" style="263" customWidth="1"/>
    <col min="2310" max="2310" width="18.21875" style="263" customWidth="1"/>
    <col min="2311" max="2311" width="18.5546875" style="263" customWidth="1"/>
    <col min="2312" max="2312" width="17" style="263" customWidth="1"/>
    <col min="2313" max="2313" width="9.44140625" style="263" customWidth="1"/>
    <col min="2314" max="2314" width="3.21875" style="263" customWidth="1"/>
    <col min="2315" max="2315" width="6.5546875" style="263" customWidth="1"/>
    <col min="2316" max="2316" width="4.21875" style="263" customWidth="1"/>
    <col min="2317" max="2317" width="8.77734375" style="263"/>
    <col min="2318" max="2318" width="17.44140625" style="263" customWidth="1"/>
    <col min="2319" max="2319" width="7.44140625" style="263" customWidth="1"/>
    <col min="2320" max="2320" width="8.21875" style="263" customWidth="1"/>
    <col min="2321" max="2321" width="11.21875" style="263" customWidth="1"/>
    <col min="2322" max="2322" width="9" style="263" customWidth="1"/>
    <col min="2323" max="2323" width="8.77734375" style="263"/>
    <col min="2324" max="2324" width="11.21875" style="263" customWidth="1"/>
    <col min="2325" max="2325" width="13.6640625" style="263" customWidth="1"/>
    <col min="2326" max="2326" width="14.109375" style="263" customWidth="1"/>
    <col min="2327" max="2327" width="10.44140625" style="263" customWidth="1"/>
    <col min="2328" max="2328" width="6.88671875" style="263" customWidth="1"/>
    <col min="2329" max="2558" width="8.77734375" style="263"/>
    <col min="2559" max="2559" width="10.88671875" style="263" bestFit="1" customWidth="1"/>
    <col min="2560" max="2560" width="8.21875" style="263" bestFit="1" customWidth="1"/>
    <col min="2561" max="2561" width="0" style="263" hidden="1" customWidth="1"/>
    <col min="2562" max="2562" width="23.33203125" style="263" bestFit="1" customWidth="1"/>
    <col min="2563" max="2563" width="14.77734375" style="263" bestFit="1" customWidth="1"/>
    <col min="2564" max="2564" width="6.6640625" style="263" bestFit="1" customWidth="1"/>
    <col min="2565" max="2565" width="14.44140625" style="263" customWidth="1"/>
    <col min="2566" max="2566" width="18.21875" style="263" customWidth="1"/>
    <col min="2567" max="2567" width="18.5546875" style="263" customWidth="1"/>
    <col min="2568" max="2568" width="17" style="263" customWidth="1"/>
    <col min="2569" max="2569" width="9.44140625" style="263" customWidth="1"/>
    <col min="2570" max="2570" width="3.21875" style="263" customWidth="1"/>
    <col min="2571" max="2571" width="6.5546875" style="263" customWidth="1"/>
    <col min="2572" max="2572" width="4.21875" style="263" customWidth="1"/>
    <col min="2573" max="2573" width="8.77734375" style="263"/>
    <col min="2574" max="2574" width="17.44140625" style="263" customWidth="1"/>
    <col min="2575" max="2575" width="7.44140625" style="263" customWidth="1"/>
    <col min="2576" max="2576" width="8.21875" style="263" customWidth="1"/>
    <col min="2577" max="2577" width="11.21875" style="263" customWidth="1"/>
    <col min="2578" max="2578" width="9" style="263" customWidth="1"/>
    <col min="2579" max="2579" width="8.77734375" style="263"/>
    <col min="2580" max="2580" width="11.21875" style="263" customWidth="1"/>
    <col min="2581" max="2581" width="13.6640625" style="263" customWidth="1"/>
    <col min="2582" max="2582" width="14.109375" style="263" customWidth="1"/>
    <col min="2583" max="2583" width="10.44140625" style="263" customWidth="1"/>
    <col min="2584" max="2584" width="6.88671875" style="263" customWidth="1"/>
    <col min="2585" max="2814" width="8.77734375" style="263"/>
    <col min="2815" max="2815" width="10.88671875" style="263" bestFit="1" customWidth="1"/>
    <col min="2816" max="2816" width="8.21875" style="263" bestFit="1" customWidth="1"/>
    <col min="2817" max="2817" width="0" style="263" hidden="1" customWidth="1"/>
    <col min="2818" max="2818" width="23.33203125" style="263" bestFit="1" customWidth="1"/>
    <col min="2819" max="2819" width="14.77734375" style="263" bestFit="1" customWidth="1"/>
    <col min="2820" max="2820" width="6.6640625" style="263" bestFit="1" customWidth="1"/>
    <col min="2821" max="2821" width="14.44140625" style="263" customWidth="1"/>
    <col min="2822" max="2822" width="18.21875" style="263" customWidth="1"/>
    <col min="2823" max="2823" width="18.5546875" style="263" customWidth="1"/>
    <col min="2824" max="2824" width="17" style="263" customWidth="1"/>
    <col min="2825" max="2825" width="9.44140625" style="263" customWidth="1"/>
    <col min="2826" max="2826" width="3.21875" style="263" customWidth="1"/>
    <col min="2827" max="2827" width="6.5546875" style="263" customWidth="1"/>
    <col min="2828" max="2828" width="4.21875" style="263" customWidth="1"/>
    <col min="2829" max="2829" width="8.77734375" style="263"/>
    <col min="2830" max="2830" width="17.44140625" style="263" customWidth="1"/>
    <col min="2831" max="2831" width="7.44140625" style="263" customWidth="1"/>
    <col min="2832" max="2832" width="8.21875" style="263" customWidth="1"/>
    <col min="2833" max="2833" width="11.21875" style="263" customWidth="1"/>
    <col min="2834" max="2834" width="9" style="263" customWidth="1"/>
    <col min="2835" max="2835" width="8.77734375" style="263"/>
    <col min="2836" max="2836" width="11.21875" style="263" customWidth="1"/>
    <col min="2837" max="2837" width="13.6640625" style="263" customWidth="1"/>
    <col min="2838" max="2838" width="14.109375" style="263" customWidth="1"/>
    <col min="2839" max="2839" width="10.44140625" style="263" customWidth="1"/>
    <col min="2840" max="2840" width="6.88671875" style="263" customWidth="1"/>
    <col min="2841" max="3070" width="8.77734375" style="263"/>
    <col min="3071" max="3071" width="10.88671875" style="263" bestFit="1" customWidth="1"/>
    <col min="3072" max="3072" width="8.21875" style="263" bestFit="1" customWidth="1"/>
    <col min="3073" max="3073" width="0" style="263" hidden="1" customWidth="1"/>
    <col min="3074" max="3074" width="23.33203125" style="263" bestFit="1" customWidth="1"/>
    <col min="3075" max="3075" width="14.77734375" style="263" bestFit="1" customWidth="1"/>
    <col min="3076" max="3076" width="6.6640625" style="263" bestFit="1" customWidth="1"/>
    <col min="3077" max="3077" width="14.44140625" style="263" customWidth="1"/>
    <col min="3078" max="3078" width="18.21875" style="263" customWidth="1"/>
    <col min="3079" max="3079" width="18.5546875" style="263" customWidth="1"/>
    <col min="3080" max="3080" width="17" style="263" customWidth="1"/>
    <col min="3081" max="3081" width="9.44140625" style="263" customWidth="1"/>
    <col min="3082" max="3082" width="3.21875" style="263" customWidth="1"/>
    <col min="3083" max="3083" width="6.5546875" style="263" customWidth="1"/>
    <col min="3084" max="3084" width="4.21875" style="263" customWidth="1"/>
    <col min="3085" max="3085" width="8.77734375" style="263"/>
    <col min="3086" max="3086" width="17.44140625" style="263" customWidth="1"/>
    <col min="3087" max="3087" width="7.44140625" style="263" customWidth="1"/>
    <col min="3088" max="3088" width="8.21875" style="263" customWidth="1"/>
    <col min="3089" max="3089" width="11.21875" style="263" customWidth="1"/>
    <col min="3090" max="3090" width="9" style="263" customWidth="1"/>
    <col min="3091" max="3091" width="8.77734375" style="263"/>
    <col min="3092" max="3092" width="11.21875" style="263" customWidth="1"/>
    <col min="3093" max="3093" width="13.6640625" style="263" customWidth="1"/>
    <col min="3094" max="3094" width="14.109375" style="263" customWidth="1"/>
    <col min="3095" max="3095" width="10.44140625" style="263" customWidth="1"/>
    <col min="3096" max="3096" width="6.88671875" style="263" customWidth="1"/>
    <col min="3097" max="3326" width="8.77734375" style="263"/>
    <col min="3327" max="3327" width="10.88671875" style="263" bestFit="1" customWidth="1"/>
    <col min="3328" max="3328" width="8.21875" style="263" bestFit="1" customWidth="1"/>
    <col min="3329" max="3329" width="0" style="263" hidden="1" customWidth="1"/>
    <col min="3330" max="3330" width="23.33203125" style="263" bestFit="1" customWidth="1"/>
    <col min="3331" max="3331" width="14.77734375" style="263" bestFit="1" customWidth="1"/>
    <col min="3332" max="3332" width="6.6640625" style="263" bestFit="1" customWidth="1"/>
    <col min="3333" max="3333" width="14.44140625" style="263" customWidth="1"/>
    <col min="3334" max="3334" width="18.21875" style="263" customWidth="1"/>
    <col min="3335" max="3335" width="18.5546875" style="263" customWidth="1"/>
    <col min="3336" max="3336" width="17" style="263" customWidth="1"/>
    <col min="3337" max="3337" width="9.44140625" style="263" customWidth="1"/>
    <col min="3338" max="3338" width="3.21875" style="263" customWidth="1"/>
    <col min="3339" max="3339" width="6.5546875" style="263" customWidth="1"/>
    <col min="3340" max="3340" width="4.21875" style="263" customWidth="1"/>
    <col min="3341" max="3341" width="8.77734375" style="263"/>
    <col min="3342" max="3342" width="17.44140625" style="263" customWidth="1"/>
    <col min="3343" max="3343" width="7.44140625" style="263" customWidth="1"/>
    <col min="3344" max="3344" width="8.21875" style="263" customWidth="1"/>
    <col min="3345" max="3345" width="11.21875" style="263" customWidth="1"/>
    <col min="3346" max="3346" width="9" style="263" customWidth="1"/>
    <col min="3347" max="3347" width="8.77734375" style="263"/>
    <col min="3348" max="3348" width="11.21875" style="263" customWidth="1"/>
    <col min="3349" max="3349" width="13.6640625" style="263" customWidth="1"/>
    <col min="3350" max="3350" width="14.109375" style="263" customWidth="1"/>
    <col min="3351" max="3351" width="10.44140625" style="263" customWidth="1"/>
    <col min="3352" max="3352" width="6.88671875" style="263" customWidth="1"/>
    <col min="3353" max="3582" width="8.77734375" style="263"/>
    <col min="3583" max="3583" width="10.88671875" style="263" bestFit="1" customWidth="1"/>
    <col min="3584" max="3584" width="8.21875" style="263" bestFit="1" customWidth="1"/>
    <col min="3585" max="3585" width="0" style="263" hidden="1" customWidth="1"/>
    <col min="3586" max="3586" width="23.33203125" style="263" bestFit="1" customWidth="1"/>
    <col min="3587" max="3587" width="14.77734375" style="263" bestFit="1" customWidth="1"/>
    <col min="3588" max="3588" width="6.6640625" style="263" bestFit="1" customWidth="1"/>
    <col min="3589" max="3589" width="14.44140625" style="263" customWidth="1"/>
    <col min="3590" max="3590" width="18.21875" style="263" customWidth="1"/>
    <col min="3591" max="3591" width="18.5546875" style="263" customWidth="1"/>
    <col min="3592" max="3592" width="17" style="263" customWidth="1"/>
    <col min="3593" max="3593" width="9.44140625" style="263" customWidth="1"/>
    <col min="3594" max="3594" width="3.21875" style="263" customWidth="1"/>
    <col min="3595" max="3595" width="6.5546875" style="263" customWidth="1"/>
    <col min="3596" max="3596" width="4.21875" style="263" customWidth="1"/>
    <col min="3597" max="3597" width="8.77734375" style="263"/>
    <col min="3598" max="3598" width="17.44140625" style="263" customWidth="1"/>
    <col min="3599" max="3599" width="7.44140625" style="263" customWidth="1"/>
    <col min="3600" max="3600" width="8.21875" style="263" customWidth="1"/>
    <col min="3601" max="3601" width="11.21875" style="263" customWidth="1"/>
    <col min="3602" max="3602" width="9" style="263" customWidth="1"/>
    <col min="3603" max="3603" width="8.77734375" style="263"/>
    <col min="3604" max="3604" width="11.21875" style="263" customWidth="1"/>
    <col min="3605" max="3605" width="13.6640625" style="263" customWidth="1"/>
    <col min="3606" max="3606" width="14.109375" style="263" customWidth="1"/>
    <col min="3607" max="3607" width="10.44140625" style="263" customWidth="1"/>
    <col min="3608" max="3608" width="6.88671875" style="263" customWidth="1"/>
    <col min="3609" max="3838" width="8.77734375" style="263"/>
    <col min="3839" max="3839" width="10.88671875" style="263" bestFit="1" customWidth="1"/>
    <col min="3840" max="3840" width="8.21875" style="263" bestFit="1" customWidth="1"/>
    <col min="3841" max="3841" width="0" style="263" hidden="1" customWidth="1"/>
    <col min="3842" max="3842" width="23.33203125" style="263" bestFit="1" customWidth="1"/>
    <col min="3843" max="3843" width="14.77734375" style="263" bestFit="1" customWidth="1"/>
    <col min="3844" max="3844" width="6.6640625" style="263" bestFit="1" customWidth="1"/>
    <col min="3845" max="3845" width="14.44140625" style="263" customWidth="1"/>
    <col min="3846" max="3846" width="18.21875" style="263" customWidth="1"/>
    <col min="3847" max="3847" width="18.5546875" style="263" customWidth="1"/>
    <col min="3848" max="3848" width="17" style="263" customWidth="1"/>
    <col min="3849" max="3849" width="9.44140625" style="263" customWidth="1"/>
    <col min="3850" max="3850" width="3.21875" style="263" customWidth="1"/>
    <col min="3851" max="3851" width="6.5546875" style="263" customWidth="1"/>
    <col min="3852" max="3852" width="4.21875" style="263" customWidth="1"/>
    <col min="3853" max="3853" width="8.77734375" style="263"/>
    <col min="3854" max="3854" width="17.44140625" style="263" customWidth="1"/>
    <col min="3855" max="3855" width="7.44140625" style="263" customWidth="1"/>
    <col min="3856" max="3856" width="8.21875" style="263" customWidth="1"/>
    <col min="3857" max="3857" width="11.21875" style="263" customWidth="1"/>
    <col min="3858" max="3858" width="9" style="263" customWidth="1"/>
    <col min="3859" max="3859" width="8.77734375" style="263"/>
    <col min="3860" max="3860" width="11.21875" style="263" customWidth="1"/>
    <col min="3861" max="3861" width="13.6640625" style="263" customWidth="1"/>
    <col min="3862" max="3862" width="14.109375" style="263" customWidth="1"/>
    <col min="3863" max="3863" width="10.44140625" style="263" customWidth="1"/>
    <col min="3864" max="3864" width="6.88671875" style="263" customWidth="1"/>
    <col min="3865" max="4094" width="8.77734375" style="263"/>
    <col min="4095" max="4095" width="10.88671875" style="263" bestFit="1" customWidth="1"/>
    <col min="4096" max="4096" width="8.21875" style="263" bestFit="1" customWidth="1"/>
    <col min="4097" max="4097" width="0" style="263" hidden="1" customWidth="1"/>
    <col min="4098" max="4098" width="23.33203125" style="263" bestFit="1" customWidth="1"/>
    <col min="4099" max="4099" width="14.77734375" style="263" bestFit="1" customWidth="1"/>
    <col min="4100" max="4100" width="6.6640625" style="263" bestFit="1" customWidth="1"/>
    <col min="4101" max="4101" width="14.44140625" style="263" customWidth="1"/>
    <col min="4102" max="4102" width="18.21875" style="263" customWidth="1"/>
    <col min="4103" max="4103" width="18.5546875" style="263" customWidth="1"/>
    <col min="4104" max="4104" width="17" style="263" customWidth="1"/>
    <col min="4105" max="4105" width="9.44140625" style="263" customWidth="1"/>
    <col min="4106" max="4106" width="3.21875" style="263" customWidth="1"/>
    <col min="4107" max="4107" width="6.5546875" style="263" customWidth="1"/>
    <col min="4108" max="4108" width="4.21875" style="263" customWidth="1"/>
    <col min="4109" max="4109" width="8.77734375" style="263"/>
    <col min="4110" max="4110" width="17.44140625" style="263" customWidth="1"/>
    <col min="4111" max="4111" width="7.44140625" style="263" customWidth="1"/>
    <col min="4112" max="4112" width="8.21875" style="263" customWidth="1"/>
    <col min="4113" max="4113" width="11.21875" style="263" customWidth="1"/>
    <col min="4114" max="4114" width="9" style="263" customWidth="1"/>
    <col min="4115" max="4115" width="8.77734375" style="263"/>
    <col min="4116" max="4116" width="11.21875" style="263" customWidth="1"/>
    <col min="4117" max="4117" width="13.6640625" style="263" customWidth="1"/>
    <col min="4118" max="4118" width="14.109375" style="263" customWidth="1"/>
    <col min="4119" max="4119" width="10.44140625" style="263" customWidth="1"/>
    <col min="4120" max="4120" width="6.88671875" style="263" customWidth="1"/>
    <col min="4121" max="4350" width="8.77734375" style="263"/>
    <col min="4351" max="4351" width="10.88671875" style="263" bestFit="1" customWidth="1"/>
    <col min="4352" max="4352" width="8.21875" style="263" bestFit="1" customWidth="1"/>
    <col min="4353" max="4353" width="0" style="263" hidden="1" customWidth="1"/>
    <col min="4354" max="4354" width="23.33203125" style="263" bestFit="1" customWidth="1"/>
    <col min="4355" max="4355" width="14.77734375" style="263" bestFit="1" customWidth="1"/>
    <col min="4356" max="4356" width="6.6640625" style="263" bestFit="1" customWidth="1"/>
    <col min="4357" max="4357" width="14.44140625" style="263" customWidth="1"/>
    <col min="4358" max="4358" width="18.21875" style="263" customWidth="1"/>
    <col min="4359" max="4359" width="18.5546875" style="263" customWidth="1"/>
    <col min="4360" max="4360" width="17" style="263" customWidth="1"/>
    <col min="4361" max="4361" width="9.44140625" style="263" customWidth="1"/>
    <col min="4362" max="4362" width="3.21875" style="263" customWidth="1"/>
    <col min="4363" max="4363" width="6.5546875" style="263" customWidth="1"/>
    <col min="4364" max="4364" width="4.21875" style="263" customWidth="1"/>
    <col min="4365" max="4365" width="8.77734375" style="263"/>
    <col min="4366" max="4366" width="17.44140625" style="263" customWidth="1"/>
    <col min="4367" max="4367" width="7.44140625" style="263" customWidth="1"/>
    <col min="4368" max="4368" width="8.21875" style="263" customWidth="1"/>
    <col min="4369" max="4369" width="11.21875" style="263" customWidth="1"/>
    <col min="4370" max="4370" width="9" style="263" customWidth="1"/>
    <col min="4371" max="4371" width="8.77734375" style="263"/>
    <col min="4372" max="4372" width="11.21875" style="263" customWidth="1"/>
    <col min="4373" max="4373" width="13.6640625" style="263" customWidth="1"/>
    <col min="4374" max="4374" width="14.109375" style="263" customWidth="1"/>
    <col min="4375" max="4375" width="10.44140625" style="263" customWidth="1"/>
    <col min="4376" max="4376" width="6.88671875" style="263" customWidth="1"/>
    <col min="4377" max="4606" width="8.77734375" style="263"/>
    <col min="4607" max="4607" width="10.88671875" style="263" bestFit="1" customWidth="1"/>
    <col min="4608" max="4608" width="8.21875" style="263" bestFit="1" customWidth="1"/>
    <col min="4609" max="4609" width="0" style="263" hidden="1" customWidth="1"/>
    <col min="4610" max="4610" width="23.33203125" style="263" bestFit="1" customWidth="1"/>
    <col min="4611" max="4611" width="14.77734375" style="263" bestFit="1" customWidth="1"/>
    <col min="4612" max="4612" width="6.6640625" style="263" bestFit="1" customWidth="1"/>
    <col min="4613" max="4613" width="14.44140625" style="263" customWidth="1"/>
    <col min="4614" max="4614" width="18.21875" style="263" customWidth="1"/>
    <col min="4615" max="4615" width="18.5546875" style="263" customWidth="1"/>
    <col min="4616" max="4616" width="17" style="263" customWidth="1"/>
    <col min="4617" max="4617" width="9.44140625" style="263" customWidth="1"/>
    <col min="4618" max="4618" width="3.21875" style="263" customWidth="1"/>
    <col min="4619" max="4619" width="6.5546875" style="263" customWidth="1"/>
    <col min="4620" max="4620" width="4.21875" style="263" customWidth="1"/>
    <col min="4621" max="4621" width="8.77734375" style="263"/>
    <col min="4622" max="4622" width="17.44140625" style="263" customWidth="1"/>
    <col min="4623" max="4623" width="7.44140625" style="263" customWidth="1"/>
    <col min="4624" max="4624" width="8.21875" style="263" customWidth="1"/>
    <col min="4625" max="4625" width="11.21875" style="263" customWidth="1"/>
    <col min="4626" max="4626" width="9" style="263" customWidth="1"/>
    <col min="4627" max="4627" width="8.77734375" style="263"/>
    <col min="4628" max="4628" width="11.21875" style="263" customWidth="1"/>
    <col min="4629" max="4629" width="13.6640625" style="263" customWidth="1"/>
    <col min="4630" max="4630" width="14.109375" style="263" customWidth="1"/>
    <col min="4631" max="4631" width="10.44140625" style="263" customWidth="1"/>
    <col min="4632" max="4632" width="6.88671875" style="263" customWidth="1"/>
    <col min="4633" max="4862" width="8.77734375" style="263"/>
    <col min="4863" max="4863" width="10.88671875" style="263" bestFit="1" customWidth="1"/>
    <col min="4864" max="4864" width="8.21875" style="263" bestFit="1" customWidth="1"/>
    <col min="4865" max="4865" width="0" style="263" hidden="1" customWidth="1"/>
    <col min="4866" max="4866" width="23.33203125" style="263" bestFit="1" customWidth="1"/>
    <col min="4867" max="4867" width="14.77734375" style="263" bestFit="1" customWidth="1"/>
    <col min="4868" max="4868" width="6.6640625" style="263" bestFit="1" customWidth="1"/>
    <col min="4869" max="4869" width="14.44140625" style="263" customWidth="1"/>
    <col min="4870" max="4870" width="18.21875" style="263" customWidth="1"/>
    <col min="4871" max="4871" width="18.5546875" style="263" customWidth="1"/>
    <col min="4872" max="4872" width="17" style="263" customWidth="1"/>
    <col min="4873" max="4873" width="9.44140625" style="263" customWidth="1"/>
    <col min="4874" max="4874" width="3.21875" style="263" customWidth="1"/>
    <col min="4875" max="4875" width="6.5546875" style="263" customWidth="1"/>
    <col min="4876" max="4876" width="4.21875" style="263" customWidth="1"/>
    <col min="4877" max="4877" width="8.77734375" style="263"/>
    <col min="4878" max="4878" width="17.44140625" style="263" customWidth="1"/>
    <col min="4879" max="4879" width="7.44140625" style="263" customWidth="1"/>
    <col min="4880" max="4880" width="8.21875" style="263" customWidth="1"/>
    <col min="4881" max="4881" width="11.21875" style="263" customWidth="1"/>
    <col min="4882" max="4882" width="9" style="263" customWidth="1"/>
    <col min="4883" max="4883" width="8.77734375" style="263"/>
    <col min="4884" max="4884" width="11.21875" style="263" customWidth="1"/>
    <col min="4885" max="4885" width="13.6640625" style="263" customWidth="1"/>
    <col min="4886" max="4886" width="14.109375" style="263" customWidth="1"/>
    <col min="4887" max="4887" width="10.44140625" style="263" customWidth="1"/>
    <col min="4888" max="4888" width="6.88671875" style="263" customWidth="1"/>
    <col min="4889" max="5118" width="8.77734375" style="263"/>
    <col min="5119" max="5119" width="10.88671875" style="263" bestFit="1" customWidth="1"/>
    <col min="5120" max="5120" width="8.21875" style="263" bestFit="1" customWidth="1"/>
    <col min="5121" max="5121" width="0" style="263" hidden="1" customWidth="1"/>
    <col min="5122" max="5122" width="23.33203125" style="263" bestFit="1" customWidth="1"/>
    <col min="5123" max="5123" width="14.77734375" style="263" bestFit="1" customWidth="1"/>
    <col min="5124" max="5124" width="6.6640625" style="263" bestFit="1" customWidth="1"/>
    <col min="5125" max="5125" width="14.44140625" style="263" customWidth="1"/>
    <col min="5126" max="5126" width="18.21875" style="263" customWidth="1"/>
    <col min="5127" max="5127" width="18.5546875" style="263" customWidth="1"/>
    <col min="5128" max="5128" width="17" style="263" customWidth="1"/>
    <col min="5129" max="5129" width="9.44140625" style="263" customWidth="1"/>
    <col min="5130" max="5130" width="3.21875" style="263" customWidth="1"/>
    <col min="5131" max="5131" width="6.5546875" style="263" customWidth="1"/>
    <col min="5132" max="5132" width="4.21875" style="263" customWidth="1"/>
    <col min="5133" max="5133" width="8.77734375" style="263"/>
    <col min="5134" max="5134" width="17.44140625" style="263" customWidth="1"/>
    <col min="5135" max="5135" width="7.44140625" style="263" customWidth="1"/>
    <col min="5136" max="5136" width="8.21875" style="263" customWidth="1"/>
    <col min="5137" max="5137" width="11.21875" style="263" customWidth="1"/>
    <col min="5138" max="5138" width="9" style="263" customWidth="1"/>
    <col min="5139" max="5139" width="8.77734375" style="263"/>
    <col min="5140" max="5140" width="11.21875" style="263" customWidth="1"/>
    <col min="5141" max="5141" width="13.6640625" style="263" customWidth="1"/>
    <col min="5142" max="5142" width="14.109375" style="263" customWidth="1"/>
    <col min="5143" max="5143" width="10.44140625" style="263" customWidth="1"/>
    <col min="5144" max="5144" width="6.88671875" style="263" customWidth="1"/>
    <col min="5145" max="5374" width="8.77734375" style="263"/>
    <col min="5375" max="5375" width="10.88671875" style="263" bestFit="1" customWidth="1"/>
    <col min="5376" max="5376" width="8.21875" style="263" bestFit="1" customWidth="1"/>
    <col min="5377" max="5377" width="0" style="263" hidden="1" customWidth="1"/>
    <col min="5378" max="5378" width="23.33203125" style="263" bestFit="1" customWidth="1"/>
    <col min="5379" max="5379" width="14.77734375" style="263" bestFit="1" customWidth="1"/>
    <col min="5380" max="5380" width="6.6640625" style="263" bestFit="1" customWidth="1"/>
    <col min="5381" max="5381" width="14.44140625" style="263" customWidth="1"/>
    <col min="5382" max="5382" width="18.21875" style="263" customWidth="1"/>
    <col min="5383" max="5383" width="18.5546875" style="263" customWidth="1"/>
    <col min="5384" max="5384" width="17" style="263" customWidth="1"/>
    <col min="5385" max="5385" width="9.44140625" style="263" customWidth="1"/>
    <col min="5386" max="5386" width="3.21875" style="263" customWidth="1"/>
    <col min="5387" max="5387" width="6.5546875" style="263" customWidth="1"/>
    <col min="5388" max="5388" width="4.21875" style="263" customWidth="1"/>
    <col min="5389" max="5389" width="8.77734375" style="263"/>
    <col min="5390" max="5390" width="17.44140625" style="263" customWidth="1"/>
    <col min="5391" max="5391" width="7.44140625" style="263" customWidth="1"/>
    <col min="5392" max="5392" width="8.21875" style="263" customWidth="1"/>
    <col min="5393" max="5393" width="11.21875" style="263" customWidth="1"/>
    <col min="5394" max="5394" width="9" style="263" customWidth="1"/>
    <col min="5395" max="5395" width="8.77734375" style="263"/>
    <col min="5396" max="5396" width="11.21875" style="263" customWidth="1"/>
    <col min="5397" max="5397" width="13.6640625" style="263" customWidth="1"/>
    <col min="5398" max="5398" width="14.109375" style="263" customWidth="1"/>
    <col min="5399" max="5399" width="10.44140625" style="263" customWidth="1"/>
    <col min="5400" max="5400" width="6.88671875" style="263" customWidth="1"/>
    <col min="5401" max="5630" width="8.77734375" style="263"/>
    <col min="5631" max="5631" width="10.88671875" style="263" bestFit="1" customWidth="1"/>
    <col min="5632" max="5632" width="8.21875" style="263" bestFit="1" customWidth="1"/>
    <col min="5633" max="5633" width="0" style="263" hidden="1" customWidth="1"/>
    <col min="5634" max="5634" width="23.33203125" style="263" bestFit="1" customWidth="1"/>
    <col min="5635" max="5635" width="14.77734375" style="263" bestFit="1" customWidth="1"/>
    <col min="5636" max="5636" width="6.6640625" style="263" bestFit="1" customWidth="1"/>
    <col min="5637" max="5637" width="14.44140625" style="263" customWidth="1"/>
    <col min="5638" max="5638" width="18.21875" style="263" customWidth="1"/>
    <col min="5639" max="5639" width="18.5546875" style="263" customWidth="1"/>
    <col min="5640" max="5640" width="17" style="263" customWidth="1"/>
    <col min="5641" max="5641" width="9.44140625" style="263" customWidth="1"/>
    <col min="5642" max="5642" width="3.21875" style="263" customWidth="1"/>
    <col min="5643" max="5643" width="6.5546875" style="263" customWidth="1"/>
    <col min="5644" max="5644" width="4.21875" style="263" customWidth="1"/>
    <col min="5645" max="5645" width="8.77734375" style="263"/>
    <col min="5646" max="5646" width="17.44140625" style="263" customWidth="1"/>
    <col min="5647" max="5647" width="7.44140625" style="263" customWidth="1"/>
    <col min="5648" max="5648" width="8.21875" style="263" customWidth="1"/>
    <col min="5649" max="5649" width="11.21875" style="263" customWidth="1"/>
    <col min="5650" max="5650" width="9" style="263" customWidth="1"/>
    <col min="5651" max="5651" width="8.77734375" style="263"/>
    <col min="5652" max="5652" width="11.21875" style="263" customWidth="1"/>
    <col min="5653" max="5653" width="13.6640625" style="263" customWidth="1"/>
    <col min="5654" max="5654" width="14.109375" style="263" customWidth="1"/>
    <col min="5655" max="5655" width="10.44140625" style="263" customWidth="1"/>
    <col min="5656" max="5656" width="6.88671875" style="263" customWidth="1"/>
    <col min="5657" max="5886" width="8.77734375" style="263"/>
    <col min="5887" max="5887" width="10.88671875" style="263" bestFit="1" customWidth="1"/>
    <col min="5888" max="5888" width="8.21875" style="263" bestFit="1" customWidth="1"/>
    <col min="5889" max="5889" width="0" style="263" hidden="1" customWidth="1"/>
    <col min="5890" max="5890" width="23.33203125" style="263" bestFit="1" customWidth="1"/>
    <col min="5891" max="5891" width="14.77734375" style="263" bestFit="1" customWidth="1"/>
    <col min="5892" max="5892" width="6.6640625" style="263" bestFit="1" customWidth="1"/>
    <col min="5893" max="5893" width="14.44140625" style="263" customWidth="1"/>
    <col min="5894" max="5894" width="18.21875" style="263" customWidth="1"/>
    <col min="5895" max="5895" width="18.5546875" style="263" customWidth="1"/>
    <col min="5896" max="5896" width="17" style="263" customWidth="1"/>
    <col min="5897" max="5897" width="9.44140625" style="263" customWidth="1"/>
    <col min="5898" max="5898" width="3.21875" style="263" customWidth="1"/>
    <col min="5899" max="5899" width="6.5546875" style="263" customWidth="1"/>
    <col min="5900" max="5900" width="4.21875" style="263" customWidth="1"/>
    <col min="5901" max="5901" width="8.77734375" style="263"/>
    <col min="5902" max="5902" width="17.44140625" style="263" customWidth="1"/>
    <col min="5903" max="5903" width="7.44140625" style="263" customWidth="1"/>
    <col min="5904" max="5904" width="8.21875" style="263" customWidth="1"/>
    <col min="5905" max="5905" width="11.21875" style="263" customWidth="1"/>
    <col min="5906" max="5906" width="9" style="263" customWidth="1"/>
    <col min="5907" max="5907" width="8.77734375" style="263"/>
    <col min="5908" max="5908" width="11.21875" style="263" customWidth="1"/>
    <col min="5909" max="5909" width="13.6640625" style="263" customWidth="1"/>
    <col min="5910" max="5910" width="14.109375" style="263" customWidth="1"/>
    <col min="5911" max="5911" width="10.44140625" style="263" customWidth="1"/>
    <col min="5912" max="5912" width="6.88671875" style="263" customWidth="1"/>
    <col min="5913" max="6142" width="8.77734375" style="263"/>
    <col min="6143" max="6143" width="10.88671875" style="263" bestFit="1" customWidth="1"/>
    <col min="6144" max="6144" width="8.21875" style="263" bestFit="1" customWidth="1"/>
    <col min="6145" max="6145" width="0" style="263" hidden="1" customWidth="1"/>
    <col min="6146" max="6146" width="23.33203125" style="263" bestFit="1" customWidth="1"/>
    <col min="6147" max="6147" width="14.77734375" style="263" bestFit="1" customWidth="1"/>
    <col min="6148" max="6148" width="6.6640625" style="263" bestFit="1" customWidth="1"/>
    <col min="6149" max="6149" width="14.44140625" style="263" customWidth="1"/>
    <col min="6150" max="6150" width="18.21875" style="263" customWidth="1"/>
    <col min="6151" max="6151" width="18.5546875" style="263" customWidth="1"/>
    <col min="6152" max="6152" width="17" style="263" customWidth="1"/>
    <col min="6153" max="6153" width="9.44140625" style="263" customWidth="1"/>
    <col min="6154" max="6154" width="3.21875" style="263" customWidth="1"/>
    <col min="6155" max="6155" width="6.5546875" style="263" customWidth="1"/>
    <col min="6156" max="6156" width="4.21875" style="263" customWidth="1"/>
    <col min="6157" max="6157" width="8.77734375" style="263"/>
    <col min="6158" max="6158" width="17.44140625" style="263" customWidth="1"/>
    <col min="6159" max="6159" width="7.44140625" style="263" customWidth="1"/>
    <col min="6160" max="6160" width="8.21875" style="263" customWidth="1"/>
    <col min="6161" max="6161" width="11.21875" style="263" customWidth="1"/>
    <col min="6162" max="6162" width="9" style="263" customWidth="1"/>
    <col min="6163" max="6163" width="8.77734375" style="263"/>
    <col min="6164" max="6164" width="11.21875" style="263" customWidth="1"/>
    <col min="6165" max="6165" width="13.6640625" style="263" customWidth="1"/>
    <col min="6166" max="6166" width="14.109375" style="263" customWidth="1"/>
    <col min="6167" max="6167" width="10.44140625" style="263" customWidth="1"/>
    <col min="6168" max="6168" width="6.88671875" style="263" customWidth="1"/>
    <col min="6169" max="6398" width="8.77734375" style="263"/>
    <col min="6399" max="6399" width="10.88671875" style="263" bestFit="1" customWidth="1"/>
    <col min="6400" max="6400" width="8.21875" style="263" bestFit="1" customWidth="1"/>
    <col min="6401" max="6401" width="0" style="263" hidden="1" customWidth="1"/>
    <col min="6402" max="6402" width="23.33203125" style="263" bestFit="1" customWidth="1"/>
    <col min="6403" max="6403" width="14.77734375" style="263" bestFit="1" customWidth="1"/>
    <col min="6404" max="6404" width="6.6640625" style="263" bestFit="1" customWidth="1"/>
    <col min="6405" max="6405" width="14.44140625" style="263" customWidth="1"/>
    <col min="6406" max="6406" width="18.21875" style="263" customWidth="1"/>
    <col min="6407" max="6407" width="18.5546875" style="263" customWidth="1"/>
    <col min="6408" max="6408" width="17" style="263" customWidth="1"/>
    <col min="6409" max="6409" width="9.44140625" style="263" customWidth="1"/>
    <col min="6410" max="6410" width="3.21875" style="263" customWidth="1"/>
    <col min="6411" max="6411" width="6.5546875" style="263" customWidth="1"/>
    <col min="6412" max="6412" width="4.21875" style="263" customWidth="1"/>
    <col min="6413" max="6413" width="8.77734375" style="263"/>
    <col min="6414" max="6414" width="17.44140625" style="263" customWidth="1"/>
    <col min="6415" max="6415" width="7.44140625" style="263" customWidth="1"/>
    <col min="6416" max="6416" width="8.21875" style="263" customWidth="1"/>
    <col min="6417" max="6417" width="11.21875" style="263" customWidth="1"/>
    <col min="6418" max="6418" width="9" style="263" customWidth="1"/>
    <col min="6419" max="6419" width="8.77734375" style="263"/>
    <col min="6420" max="6420" width="11.21875" style="263" customWidth="1"/>
    <col min="6421" max="6421" width="13.6640625" style="263" customWidth="1"/>
    <col min="6422" max="6422" width="14.109375" style="263" customWidth="1"/>
    <col min="6423" max="6423" width="10.44140625" style="263" customWidth="1"/>
    <col min="6424" max="6424" width="6.88671875" style="263" customWidth="1"/>
    <col min="6425" max="6654" width="8.77734375" style="263"/>
    <col min="6655" max="6655" width="10.88671875" style="263" bestFit="1" customWidth="1"/>
    <col min="6656" max="6656" width="8.21875" style="263" bestFit="1" customWidth="1"/>
    <col min="6657" max="6657" width="0" style="263" hidden="1" customWidth="1"/>
    <col min="6658" max="6658" width="23.33203125" style="263" bestFit="1" customWidth="1"/>
    <col min="6659" max="6659" width="14.77734375" style="263" bestFit="1" customWidth="1"/>
    <col min="6660" max="6660" width="6.6640625" style="263" bestFit="1" customWidth="1"/>
    <col min="6661" max="6661" width="14.44140625" style="263" customWidth="1"/>
    <col min="6662" max="6662" width="18.21875" style="263" customWidth="1"/>
    <col min="6663" max="6663" width="18.5546875" style="263" customWidth="1"/>
    <col min="6664" max="6664" width="17" style="263" customWidth="1"/>
    <col min="6665" max="6665" width="9.44140625" style="263" customWidth="1"/>
    <col min="6666" max="6666" width="3.21875" style="263" customWidth="1"/>
    <col min="6667" max="6667" width="6.5546875" style="263" customWidth="1"/>
    <col min="6668" max="6668" width="4.21875" style="263" customWidth="1"/>
    <col min="6669" max="6669" width="8.77734375" style="263"/>
    <col min="6670" max="6670" width="17.44140625" style="263" customWidth="1"/>
    <col min="6671" max="6671" width="7.44140625" style="263" customWidth="1"/>
    <col min="6672" max="6672" width="8.21875" style="263" customWidth="1"/>
    <col min="6673" max="6673" width="11.21875" style="263" customWidth="1"/>
    <col min="6674" max="6674" width="9" style="263" customWidth="1"/>
    <col min="6675" max="6675" width="8.77734375" style="263"/>
    <col min="6676" max="6676" width="11.21875" style="263" customWidth="1"/>
    <col min="6677" max="6677" width="13.6640625" style="263" customWidth="1"/>
    <col min="6678" max="6678" width="14.109375" style="263" customWidth="1"/>
    <col min="6679" max="6679" width="10.44140625" style="263" customWidth="1"/>
    <col min="6680" max="6680" width="6.88671875" style="263" customWidth="1"/>
    <col min="6681" max="6910" width="8.77734375" style="263"/>
    <col min="6911" max="6911" width="10.88671875" style="263" bestFit="1" customWidth="1"/>
    <col min="6912" max="6912" width="8.21875" style="263" bestFit="1" customWidth="1"/>
    <col min="6913" max="6913" width="0" style="263" hidden="1" customWidth="1"/>
    <col min="6914" max="6914" width="23.33203125" style="263" bestFit="1" customWidth="1"/>
    <col min="6915" max="6915" width="14.77734375" style="263" bestFit="1" customWidth="1"/>
    <col min="6916" max="6916" width="6.6640625" style="263" bestFit="1" customWidth="1"/>
    <col min="6917" max="6917" width="14.44140625" style="263" customWidth="1"/>
    <col min="6918" max="6918" width="18.21875" style="263" customWidth="1"/>
    <col min="6919" max="6919" width="18.5546875" style="263" customWidth="1"/>
    <col min="6920" max="6920" width="17" style="263" customWidth="1"/>
    <col min="6921" max="6921" width="9.44140625" style="263" customWidth="1"/>
    <col min="6922" max="6922" width="3.21875" style="263" customWidth="1"/>
    <col min="6923" max="6923" width="6.5546875" style="263" customWidth="1"/>
    <col min="6924" max="6924" width="4.21875" style="263" customWidth="1"/>
    <col min="6925" max="6925" width="8.77734375" style="263"/>
    <col min="6926" max="6926" width="17.44140625" style="263" customWidth="1"/>
    <col min="6927" max="6927" width="7.44140625" style="263" customWidth="1"/>
    <col min="6928" max="6928" width="8.21875" style="263" customWidth="1"/>
    <col min="6929" max="6929" width="11.21875" style="263" customWidth="1"/>
    <col min="6930" max="6930" width="9" style="263" customWidth="1"/>
    <col min="6931" max="6931" width="8.77734375" style="263"/>
    <col min="6932" max="6932" width="11.21875" style="263" customWidth="1"/>
    <col min="6933" max="6933" width="13.6640625" style="263" customWidth="1"/>
    <col min="6934" max="6934" width="14.109375" style="263" customWidth="1"/>
    <col min="6935" max="6935" width="10.44140625" style="263" customWidth="1"/>
    <col min="6936" max="6936" width="6.88671875" style="263" customWidth="1"/>
    <col min="6937" max="7166" width="8.77734375" style="263"/>
    <col min="7167" max="7167" width="10.88671875" style="263" bestFit="1" customWidth="1"/>
    <col min="7168" max="7168" width="8.21875" style="263" bestFit="1" customWidth="1"/>
    <col min="7169" max="7169" width="0" style="263" hidden="1" customWidth="1"/>
    <col min="7170" max="7170" width="23.33203125" style="263" bestFit="1" customWidth="1"/>
    <col min="7171" max="7171" width="14.77734375" style="263" bestFit="1" customWidth="1"/>
    <col min="7172" max="7172" width="6.6640625" style="263" bestFit="1" customWidth="1"/>
    <col min="7173" max="7173" width="14.44140625" style="263" customWidth="1"/>
    <col min="7174" max="7174" width="18.21875" style="263" customWidth="1"/>
    <col min="7175" max="7175" width="18.5546875" style="263" customWidth="1"/>
    <col min="7176" max="7176" width="17" style="263" customWidth="1"/>
    <col min="7177" max="7177" width="9.44140625" style="263" customWidth="1"/>
    <col min="7178" max="7178" width="3.21875" style="263" customWidth="1"/>
    <col min="7179" max="7179" width="6.5546875" style="263" customWidth="1"/>
    <col min="7180" max="7180" width="4.21875" style="263" customWidth="1"/>
    <col min="7181" max="7181" width="8.77734375" style="263"/>
    <col min="7182" max="7182" width="17.44140625" style="263" customWidth="1"/>
    <col min="7183" max="7183" width="7.44140625" style="263" customWidth="1"/>
    <col min="7184" max="7184" width="8.21875" style="263" customWidth="1"/>
    <col min="7185" max="7185" width="11.21875" style="263" customWidth="1"/>
    <col min="7186" max="7186" width="9" style="263" customWidth="1"/>
    <col min="7187" max="7187" width="8.77734375" style="263"/>
    <col min="7188" max="7188" width="11.21875" style="263" customWidth="1"/>
    <col min="7189" max="7189" width="13.6640625" style="263" customWidth="1"/>
    <col min="7190" max="7190" width="14.109375" style="263" customWidth="1"/>
    <col min="7191" max="7191" width="10.44140625" style="263" customWidth="1"/>
    <col min="7192" max="7192" width="6.88671875" style="263" customWidth="1"/>
    <col min="7193" max="7422" width="8.77734375" style="263"/>
    <col min="7423" max="7423" width="10.88671875" style="263" bestFit="1" customWidth="1"/>
    <col min="7424" max="7424" width="8.21875" style="263" bestFit="1" customWidth="1"/>
    <col min="7425" max="7425" width="0" style="263" hidden="1" customWidth="1"/>
    <col min="7426" max="7426" width="23.33203125" style="263" bestFit="1" customWidth="1"/>
    <col min="7427" max="7427" width="14.77734375" style="263" bestFit="1" customWidth="1"/>
    <col min="7428" max="7428" width="6.6640625" style="263" bestFit="1" customWidth="1"/>
    <col min="7429" max="7429" width="14.44140625" style="263" customWidth="1"/>
    <col min="7430" max="7430" width="18.21875" style="263" customWidth="1"/>
    <col min="7431" max="7431" width="18.5546875" style="263" customWidth="1"/>
    <col min="7432" max="7432" width="17" style="263" customWidth="1"/>
    <col min="7433" max="7433" width="9.44140625" style="263" customWidth="1"/>
    <col min="7434" max="7434" width="3.21875" style="263" customWidth="1"/>
    <col min="7435" max="7435" width="6.5546875" style="263" customWidth="1"/>
    <col min="7436" max="7436" width="4.21875" style="263" customWidth="1"/>
    <col min="7437" max="7437" width="8.77734375" style="263"/>
    <col min="7438" max="7438" width="17.44140625" style="263" customWidth="1"/>
    <col min="7439" max="7439" width="7.44140625" style="263" customWidth="1"/>
    <col min="7440" max="7440" width="8.21875" style="263" customWidth="1"/>
    <col min="7441" max="7441" width="11.21875" style="263" customWidth="1"/>
    <col min="7442" max="7442" width="9" style="263" customWidth="1"/>
    <col min="7443" max="7443" width="8.77734375" style="263"/>
    <col min="7444" max="7444" width="11.21875" style="263" customWidth="1"/>
    <col min="7445" max="7445" width="13.6640625" style="263" customWidth="1"/>
    <col min="7446" max="7446" width="14.109375" style="263" customWidth="1"/>
    <col min="7447" max="7447" width="10.44140625" style="263" customWidth="1"/>
    <col min="7448" max="7448" width="6.88671875" style="263" customWidth="1"/>
    <col min="7449" max="7678" width="8.77734375" style="263"/>
    <col min="7679" max="7679" width="10.88671875" style="263" bestFit="1" customWidth="1"/>
    <col min="7680" max="7680" width="8.21875" style="263" bestFit="1" customWidth="1"/>
    <col min="7681" max="7681" width="0" style="263" hidden="1" customWidth="1"/>
    <col min="7682" max="7682" width="23.33203125" style="263" bestFit="1" customWidth="1"/>
    <col min="7683" max="7683" width="14.77734375" style="263" bestFit="1" customWidth="1"/>
    <col min="7684" max="7684" width="6.6640625" style="263" bestFit="1" customWidth="1"/>
    <col min="7685" max="7685" width="14.44140625" style="263" customWidth="1"/>
    <col min="7686" max="7686" width="18.21875" style="263" customWidth="1"/>
    <col min="7687" max="7687" width="18.5546875" style="263" customWidth="1"/>
    <col min="7688" max="7688" width="17" style="263" customWidth="1"/>
    <col min="7689" max="7689" width="9.44140625" style="263" customWidth="1"/>
    <col min="7690" max="7690" width="3.21875" style="263" customWidth="1"/>
    <col min="7691" max="7691" width="6.5546875" style="263" customWidth="1"/>
    <col min="7692" max="7692" width="4.21875" style="263" customWidth="1"/>
    <col min="7693" max="7693" width="8.77734375" style="263"/>
    <col min="7694" max="7694" width="17.44140625" style="263" customWidth="1"/>
    <col min="7695" max="7695" width="7.44140625" style="263" customWidth="1"/>
    <col min="7696" max="7696" width="8.21875" style="263" customWidth="1"/>
    <col min="7697" max="7697" width="11.21875" style="263" customWidth="1"/>
    <col min="7698" max="7698" width="9" style="263" customWidth="1"/>
    <col min="7699" max="7699" width="8.77734375" style="263"/>
    <col min="7700" max="7700" width="11.21875" style="263" customWidth="1"/>
    <col min="7701" max="7701" width="13.6640625" style="263" customWidth="1"/>
    <col min="7702" max="7702" width="14.109375" style="263" customWidth="1"/>
    <col min="7703" max="7703" width="10.44140625" style="263" customWidth="1"/>
    <col min="7704" max="7704" width="6.88671875" style="263" customWidth="1"/>
    <col min="7705" max="7934" width="8.77734375" style="263"/>
    <col min="7935" max="7935" width="10.88671875" style="263" bestFit="1" customWidth="1"/>
    <col min="7936" max="7936" width="8.21875" style="263" bestFit="1" customWidth="1"/>
    <col min="7937" max="7937" width="0" style="263" hidden="1" customWidth="1"/>
    <col min="7938" max="7938" width="23.33203125" style="263" bestFit="1" customWidth="1"/>
    <col min="7939" max="7939" width="14.77734375" style="263" bestFit="1" customWidth="1"/>
    <col min="7940" max="7940" width="6.6640625" style="263" bestFit="1" customWidth="1"/>
    <col min="7941" max="7941" width="14.44140625" style="263" customWidth="1"/>
    <col min="7942" max="7942" width="18.21875" style="263" customWidth="1"/>
    <col min="7943" max="7943" width="18.5546875" style="263" customWidth="1"/>
    <col min="7944" max="7944" width="17" style="263" customWidth="1"/>
    <col min="7945" max="7945" width="9.44140625" style="263" customWidth="1"/>
    <col min="7946" max="7946" width="3.21875" style="263" customWidth="1"/>
    <col min="7947" max="7947" width="6.5546875" style="263" customWidth="1"/>
    <col min="7948" max="7948" width="4.21875" style="263" customWidth="1"/>
    <col min="7949" max="7949" width="8.77734375" style="263"/>
    <col min="7950" max="7950" width="17.44140625" style="263" customWidth="1"/>
    <col min="7951" max="7951" width="7.44140625" style="263" customWidth="1"/>
    <col min="7952" max="7952" width="8.21875" style="263" customWidth="1"/>
    <col min="7953" max="7953" width="11.21875" style="263" customWidth="1"/>
    <col min="7954" max="7954" width="9" style="263" customWidth="1"/>
    <col min="7955" max="7955" width="8.77734375" style="263"/>
    <col min="7956" max="7956" width="11.21875" style="263" customWidth="1"/>
    <col min="7957" max="7957" width="13.6640625" style="263" customWidth="1"/>
    <col min="7958" max="7958" width="14.109375" style="263" customWidth="1"/>
    <col min="7959" max="7959" width="10.44140625" style="263" customWidth="1"/>
    <col min="7960" max="7960" width="6.88671875" style="263" customWidth="1"/>
    <col min="7961" max="8190" width="8.77734375" style="263"/>
    <col min="8191" max="8191" width="10.88671875" style="263" bestFit="1" customWidth="1"/>
    <col min="8192" max="8192" width="8.21875" style="263" bestFit="1" customWidth="1"/>
    <col min="8193" max="8193" width="0" style="263" hidden="1" customWidth="1"/>
    <col min="8194" max="8194" width="23.33203125" style="263" bestFit="1" customWidth="1"/>
    <col min="8195" max="8195" width="14.77734375" style="263" bestFit="1" customWidth="1"/>
    <col min="8196" max="8196" width="6.6640625" style="263" bestFit="1" customWidth="1"/>
    <col min="8197" max="8197" width="14.44140625" style="263" customWidth="1"/>
    <col min="8198" max="8198" width="18.21875" style="263" customWidth="1"/>
    <col min="8199" max="8199" width="18.5546875" style="263" customWidth="1"/>
    <col min="8200" max="8200" width="17" style="263" customWidth="1"/>
    <col min="8201" max="8201" width="9.44140625" style="263" customWidth="1"/>
    <col min="8202" max="8202" width="3.21875" style="263" customWidth="1"/>
    <col min="8203" max="8203" width="6.5546875" style="263" customWidth="1"/>
    <col min="8204" max="8204" width="4.21875" style="263" customWidth="1"/>
    <col min="8205" max="8205" width="8.77734375" style="263"/>
    <col min="8206" max="8206" width="17.44140625" style="263" customWidth="1"/>
    <col min="8207" max="8207" width="7.44140625" style="263" customWidth="1"/>
    <col min="8208" max="8208" width="8.21875" style="263" customWidth="1"/>
    <col min="8209" max="8209" width="11.21875" style="263" customWidth="1"/>
    <col min="8210" max="8210" width="9" style="263" customWidth="1"/>
    <col min="8211" max="8211" width="8.77734375" style="263"/>
    <col min="8212" max="8212" width="11.21875" style="263" customWidth="1"/>
    <col min="8213" max="8213" width="13.6640625" style="263" customWidth="1"/>
    <col min="8214" max="8214" width="14.109375" style="263" customWidth="1"/>
    <col min="8215" max="8215" width="10.44140625" style="263" customWidth="1"/>
    <col min="8216" max="8216" width="6.88671875" style="263" customWidth="1"/>
    <col min="8217" max="8446" width="8.77734375" style="263"/>
    <col min="8447" max="8447" width="10.88671875" style="263" bestFit="1" customWidth="1"/>
    <col min="8448" max="8448" width="8.21875" style="263" bestFit="1" customWidth="1"/>
    <col min="8449" max="8449" width="0" style="263" hidden="1" customWidth="1"/>
    <col min="8450" max="8450" width="23.33203125" style="263" bestFit="1" customWidth="1"/>
    <col min="8451" max="8451" width="14.77734375" style="263" bestFit="1" customWidth="1"/>
    <col min="8452" max="8452" width="6.6640625" style="263" bestFit="1" customWidth="1"/>
    <col min="8453" max="8453" width="14.44140625" style="263" customWidth="1"/>
    <col min="8454" max="8454" width="18.21875" style="263" customWidth="1"/>
    <col min="8455" max="8455" width="18.5546875" style="263" customWidth="1"/>
    <col min="8456" max="8456" width="17" style="263" customWidth="1"/>
    <col min="8457" max="8457" width="9.44140625" style="263" customWidth="1"/>
    <col min="8458" max="8458" width="3.21875" style="263" customWidth="1"/>
    <col min="8459" max="8459" width="6.5546875" style="263" customWidth="1"/>
    <col min="8460" max="8460" width="4.21875" style="263" customWidth="1"/>
    <col min="8461" max="8461" width="8.77734375" style="263"/>
    <col min="8462" max="8462" width="17.44140625" style="263" customWidth="1"/>
    <col min="8463" max="8463" width="7.44140625" style="263" customWidth="1"/>
    <col min="8464" max="8464" width="8.21875" style="263" customWidth="1"/>
    <col min="8465" max="8465" width="11.21875" style="263" customWidth="1"/>
    <col min="8466" max="8466" width="9" style="263" customWidth="1"/>
    <col min="8467" max="8467" width="8.77734375" style="263"/>
    <col min="8468" max="8468" width="11.21875" style="263" customWidth="1"/>
    <col min="8469" max="8469" width="13.6640625" style="263" customWidth="1"/>
    <col min="8470" max="8470" width="14.109375" style="263" customWidth="1"/>
    <col min="8471" max="8471" width="10.44140625" style="263" customWidth="1"/>
    <col min="8472" max="8472" width="6.88671875" style="263" customWidth="1"/>
    <col min="8473" max="8702" width="8.77734375" style="263"/>
    <col min="8703" max="8703" width="10.88671875" style="263" bestFit="1" customWidth="1"/>
    <col min="8704" max="8704" width="8.21875" style="263" bestFit="1" customWidth="1"/>
    <col min="8705" max="8705" width="0" style="263" hidden="1" customWidth="1"/>
    <col min="8706" max="8706" width="23.33203125" style="263" bestFit="1" customWidth="1"/>
    <col min="8707" max="8707" width="14.77734375" style="263" bestFit="1" customWidth="1"/>
    <col min="8708" max="8708" width="6.6640625" style="263" bestFit="1" customWidth="1"/>
    <col min="8709" max="8709" width="14.44140625" style="263" customWidth="1"/>
    <col min="8710" max="8710" width="18.21875" style="263" customWidth="1"/>
    <col min="8711" max="8711" width="18.5546875" style="263" customWidth="1"/>
    <col min="8712" max="8712" width="17" style="263" customWidth="1"/>
    <col min="8713" max="8713" width="9.44140625" style="263" customWidth="1"/>
    <col min="8714" max="8714" width="3.21875" style="263" customWidth="1"/>
    <col min="8715" max="8715" width="6.5546875" style="263" customWidth="1"/>
    <col min="8716" max="8716" width="4.21875" style="263" customWidth="1"/>
    <col min="8717" max="8717" width="8.77734375" style="263"/>
    <col min="8718" max="8718" width="17.44140625" style="263" customWidth="1"/>
    <col min="8719" max="8719" width="7.44140625" style="263" customWidth="1"/>
    <col min="8720" max="8720" width="8.21875" style="263" customWidth="1"/>
    <col min="8721" max="8721" width="11.21875" style="263" customWidth="1"/>
    <col min="8722" max="8722" width="9" style="263" customWidth="1"/>
    <col min="8723" max="8723" width="8.77734375" style="263"/>
    <col min="8724" max="8724" width="11.21875" style="263" customWidth="1"/>
    <col min="8725" max="8725" width="13.6640625" style="263" customWidth="1"/>
    <col min="8726" max="8726" width="14.109375" style="263" customWidth="1"/>
    <col min="8727" max="8727" width="10.44140625" style="263" customWidth="1"/>
    <col min="8728" max="8728" width="6.88671875" style="263" customWidth="1"/>
    <col min="8729" max="8958" width="8.77734375" style="263"/>
    <col min="8959" max="8959" width="10.88671875" style="263" bestFit="1" customWidth="1"/>
    <col min="8960" max="8960" width="8.21875" style="263" bestFit="1" customWidth="1"/>
    <col min="8961" max="8961" width="0" style="263" hidden="1" customWidth="1"/>
    <col min="8962" max="8962" width="23.33203125" style="263" bestFit="1" customWidth="1"/>
    <col min="8963" max="8963" width="14.77734375" style="263" bestFit="1" customWidth="1"/>
    <col min="8964" max="8964" width="6.6640625" style="263" bestFit="1" customWidth="1"/>
    <col min="8965" max="8965" width="14.44140625" style="263" customWidth="1"/>
    <col min="8966" max="8966" width="18.21875" style="263" customWidth="1"/>
    <col min="8967" max="8967" width="18.5546875" style="263" customWidth="1"/>
    <col min="8968" max="8968" width="17" style="263" customWidth="1"/>
    <col min="8969" max="8969" width="9.44140625" style="263" customWidth="1"/>
    <col min="8970" max="8970" width="3.21875" style="263" customWidth="1"/>
    <col min="8971" max="8971" width="6.5546875" style="263" customWidth="1"/>
    <col min="8972" max="8972" width="4.21875" style="263" customWidth="1"/>
    <col min="8973" max="8973" width="8.77734375" style="263"/>
    <col min="8974" max="8974" width="17.44140625" style="263" customWidth="1"/>
    <col min="8975" max="8975" width="7.44140625" style="263" customWidth="1"/>
    <col min="8976" max="8976" width="8.21875" style="263" customWidth="1"/>
    <col min="8977" max="8977" width="11.21875" style="263" customWidth="1"/>
    <col min="8978" max="8978" width="9" style="263" customWidth="1"/>
    <col min="8979" max="8979" width="8.77734375" style="263"/>
    <col min="8980" max="8980" width="11.21875" style="263" customWidth="1"/>
    <col min="8981" max="8981" width="13.6640625" style="263" customWidth="1"/>
    <col min="8982" max="8982" width="14.109375" style="263" customWidth="1"/>
    <col min="8983" max="8983" width="10.44140625" style="263" customWidth="1"/>
    <col min="8984" max="8984" width="6.88671875" style="263" customWidth="1"/>
    <col min="8985" max="9214" width="8.77734375" style="263"/>
    <col min="9215" max="9215" width="10.88671875" style="263" bestFit="1" customWidth="1"/>
    <col min="9216" max="9216" width="8.21875" style="263" bestFit="1" customWidth="1"/>
    <col min="9217" max="9217" width="0" style="263" hidden="1" customWidth="1"/>
    <col min="9218" max="9218" width="23.33203125" style="263" bestFit="1" customWidth="1"/>
    <col min="9219" max="9219" width="14.77734375" style="263" bestFit="1" customWidth="1"/>
    <col min="9220" max="9220" width="6.6640625" style="263" bestFit="1" customWidth="1"/>
    <col min="9221" max="9221" width="14.44140625" style="263" customWidth="1"/>
    <col min="9222" max="9222" width="18.21875" style="263" customWidth="1"/>
    <col min="9223" max="9223" width="18.5546875" style="263" customWidth="1"/>
    <col min="9224" max="9224" width="17" style="263" customWidth="1"/>
    <col min="9225" max="9225" width="9.44140625" style="263" customWidth="1"/>
    <col min="9226" max="9226" width="3.21875" style="263" customWidth="1"/>
    <col min="9227" max="9227" width="6.5546875" style="263" customWidth="1"/>
    <col min="9228" max="9228" width="4.21875" style="263" customWidth="1"/>
    <col min="9229" max="9229" width="8.77734375" style="263"/>
    <col min="9230" max="9230" width="17.44140625" style="263" customWidth="1"/>
    <col min="9231" max="9231" width="7.44140625" style="263" customWidth="1"/>
    <col min="9232" max="9232" width="8.21875" style="263" customWidth="1"/>
    <col min="9233" max="9233" width="11.21875" style="263" customWidth="1"/>
    <col min="9234" max="9234" width="9" style="263" customWidth="1"/>
    <col min="9235" max="9235" width="8.77734375" style="263"/>
    <col min="9236" max="9236" width="11.21875" style="263" customWidth="1"/>
    <col min="9237" max="9237" width="13.6640625" style="263" customWidth="1"/>
    <col min="9238" max="9238" width="14.109375" style="263" customWidth="1"/>
    <col min="9239" max="9239" width="10.44140625" style="263" customWidth="1"/>
    <col min="9240" max="9240" width="6.88671875" style="263" customWidth="1"/>
    <col min="9241" max="9470" width="8.77734375" style="263"/>
    <col min="9471" max="9471" width="10.88671875" style="263" bestFit="1" customWidth="1"/>
    <col min="9472" max="9472" width="8.21875" style="263" bestFit="1" customWidth="1"/>
    <col min="9473" max="9473" width="0" style="263" hidden="1" customWidth="1"/>
    <col min="9474" max="9474" width="23.33203125" style="263" bestFit="1" customWidth="1"/>
    <col min="9475" max="9475" width="14.77734375" style="263" bestFit="1" customWidth="1"/>
    <col min="9476" max="9476" width="6.6640625" style="263" bestFit="1" customWidth="1"/>
    <col min="9477" max="9477" width="14.44140625" style="263" customWidth="1"/>
    <col min="9478" max="9478" width="18.21875" style="263" customWidth="1"/>
    <col min="9479" max="9479" width="18.5546875" style="263" customWidth="1"/>
    <col min="9480" max="9480" width="17" style="263" customWidth="1"/>
    <col min="9481" max="9481" width="9.44140625" style="263" customWidth="1"/>
    <col min="9482" max="9482" width="3.21875" style="263" customWidth="1"/>
    <col min="9483" max="9483" width="6.5546875" style="263" customWidth="1"/>
    <col min="9484" max="9484" width="4.21875" style="263" customWidth="1"/>
    <col min="9485" max="9485" width="8.77734375" style="263"/>
    <col min="9486" max="9486" width="17.44140625" style="263" customWidth="1"/>
    <col min="9487" max="9487" width="7.44140625" style="263" customWidth="1"/>
    <col min="9488" max="9488" width="8.21875" style="263" customWidth="1"/>
    <col min="9489" max="9489" width="11.21875" style="263" customWidth="1"/>
    <col min="9490" max="9490" width="9" style="263" customWidth="1"/>
    <col min="9491" max="9491" width="8.77734375" style="263"/>
    <col min="9492" max="9492" width="11.21875" style="263" customWidth="1"/>
    <col min="9493" max="9493" width="13.6640625" style="263" customWidth="1"/>
    <col min="9494" max="9494" width="14.109375" style="263" customWidth="1"/>
    <col min="9495" max="9495" width="10.44140625" style="263" customWidth="1"/>
    <col min="9496" max="9496" width="6.88671875" style="263" customWidth="1"/>
    <col min="9497" max="9726" width="8.77734375" style="263"/>
    <col min="9727" max="9727" width="10.88671875" style="263" bestFit="1" customWidth="1"/>
    <col min="9728" max="9728" width="8.21875" style="263" bestFit="1" customWidth="1"/>
    <col min="9729" max="9729" width="0" style="263" hidden="1" customWidth="1"/>
    <col min="9730" max="9730" width="23.33203125" style="263" bestFit="1" customWidth="1"/>
    <col min="9731" max="9731" width="14.77734375" style="263" bestFit="1" customWidth="1"/>
    <col min="9732" max="9732" width="6.6640625" style="263" bestFit="1" customWidth="1"/>
    <col min="9733" max="9733" width="14.44140625" style="263" customWidth="1"/>
    <col min="9734" max="9734" width="18.21875" style="263" customWidth="1"/>
    <col min="9735" max="9735" width="18.5546875" style="263" customWidth="1"/>
    <col min="9736" max="9736" width="17" style="263" customWidth="1"/>
    <col min="9737" max="9737" width="9.44140625" style="263" customWidth="1"/>
    <col min="9738" max="9738" width="3.21875" style="263" customWidth="1"/>
    <col min="9739" max="9739" width="6.5546875" style="263" customWidth="1"/>
    <col min="9740" max="9740" width="4.21875" style="263" customWidth="1"/>
    <col min="9741" max="9741" width="8.77734375" style="263"/>
    <col min="9742" max="9742" width="17.44140625" style="263" customWidth="1"/>
    <col min="9743" max="9743" width="7.44140625" style="263" customWidth="1"/>
    <col min="9744" max="9744" width="8.21875" style="263" customWidth="1"/>
    <col min="9745" max="9745" width="11.21875" style="263" customWidth="1"/>
    <col min="9746" max="9746" width="9" style="263" customWidth="1"/>
    <col min="9747" max="9747" width="8.77734375" style="263"/>
    <col min="9748" max="9748" width="11.21875" style="263" customWidth="1"/>
    <col min="9749" max="9749" width="13.6640625" style="263" customWidth="1"/>
    <col min="9750" max="9750" width="14.109375" style="263" customWidth="1"/>
    <col min="9751" max="9751" width="10.44140625" style="263" customWidth="1"/>
    <col min="9752" max="9752" width="6.88671875" style="263" customWidth="1"/>
    <col min="9753" max="9982" width="8.77734375" style="263"/>
    <col min="9983" max="9983" width="10.88671875" style="263" bestFit="1" customWidth="1"/>
    <col min="9984" max="9984" width="8.21875" style="263" bestFit="1" customWidth="1"/>
    <col min="9985" max="9985" width="0" style="263" hidden="1" customWidth="1"/>
    <col min="9986" max="9986" width="23.33203125" style="263" bestFit="1" customWidth="1"/>
    <col min="9987" max="9987" width="14.77734375" style="263" bestFit="1" customWidth="1"/>
    <col min="9988" max="9988" width="6.6640625" style="263" bestFit="1" customWidth="1"/>
    <col min="9989" max="9989" width="14.44140625" style="263" customWidth="1"/>
    <col min="9990" max="9990" width="18.21875" style="263" customWidth="1"/>
    <col min="9991" max="9991" width="18.5546875" style="263" customWidth="1"/>
    <col min="9992" max="9992" width="17" style="263" customWidth="1"/>
    <col min="9993" max="9993" width="9.44140625" style="263" customWidth="1"/>
    <col min="9994" max="9994" width="3.21875" style="263" customWidth="1"/>
    <col min="9995" max="9995" width="6.5546875" style="263" customWidth="1"/>
    <col min="9996" max="9996" width="4.21875" style="263" customWidth="1"/>
    <col min="9997" max="9997" width="8.77734375" style="263"/>
    <col min="9998" max="9998" width="17.44140625" style="263" customWidth="1"/>
    <col min="9999" max="9999" width="7.44140625" style="263" customWidth="1"/>
    <col min="10000" max="10000" width="8.21875" style="263" customWidth="1"/>
    <col min="10001" max="10001" width="11.21875" style="263" customWidth="1"/>
    <col min="10002" max="10002" width="9" style="263" customWidth="1"/>
    <col min="10003" max="10003" width="8.77734375" style="263"/>
    <col min="10004" max="10004" width="11.21875" style="263" customWidth="1"/>
    <col min="10005" max="10005" width="13.6640625" style="263" customWidth="1"/>
    <col min="10006" max="10006" width="14.109375" style="263" customWidth="1"/>
    <col min="10007" max="10007" width="10.44140625" style="263" customWidth="1"/>
    <col min="10008" max="10008" width="6.88671875" style="263" customWidth="1"/>
    <col min="10009" max="10238" width="8.77734375" style="263"/>
    <col min="10239" max="10239" width="10.88671875" style="263" bestFit="1" customWidth="1"/>
    <col min="10240" max="10240" width="8.21875" style="263" bestFit="1" customWidth="1"/>
    <col min="10241" max="10241" width="0" style="263" hidden="1" customWidth="1"/>
    <col min="10242" max="10242" width="23.33203125" style="263" bestFit="1" customWidth="1"/>
    <col min="10243" max="10243" width="14.77734375" style="263" bestFit="1" customWidth="1"/>
    <col min="10244" max="10244" width="6.6640625" style="263" bestFit="1" customWidth="1"/>
    <col min="10245" max="10245" width="14.44140625" style="263" customWidth="1"/>
    <col min="10246" max="10246" width="18.21875" style="263" customWidth="1"/>
    <col min="10247" max="10247" width="18.5546875" style="263" customWidth="1"/>
    <col min="10248" max="10248" width="17" style="263" customWidth="1"/>
    <col min="10249" max="10249" width="9.44140625" style="263" customWidth="1"/>
    <col min="10250" max="10250" width="3.21875" style="263" customWidth="1"/>
    <col min="10251" max="10251" width="6.5546875" style="263" customWidth="1"/>
    <col min="10252" max="10252" width="4.21875" style="263" customWidth="1"/>
    <col min="10253" max="10253" width="8.77734375" style="263"/>
    <col min="10254" max="10254" width="17.44140625" style="263" customWidth="1"/>
    <col min="10255" max="10255" width="7.44140625" style="263" customWidth="1"/>
    <col min="10256" max="10256" width="8.21875" style="263" customWidth="1"/>
    <col min="10257" max="10257" width="11.21875" style="263" customWidth="1"/>
    <col min="10258" max="10258" width="9" style="263" customWidth="1"/>
    <col min="10259" max="10259" width="8.77734375" style="263"/>
    <col min="10260" max="10260" width="11.21875" style="263" customWidth="1"/>
    <col min="10261" max="10261" width="13.6640625" style="263" customWidth="1"/>
    <col min="10262" max="10262" width="14.109375" style="263" customWidth="1"/>
    <col min="10263" max="10263" width="10.44140625" style="263" customWidth="1"/>
    <col min="10264" max="10264" width="6.88671875" style="263" customWidth="1"/>
    <col min="10265" max="10494" width="8.77734375" style="263"/>
    <col min="10495" max="10495" width="10.88671875" style="263" bestFit="1" customWidth="1"/>
    <col min="10496" max="10496" width="8.21875" style="263" bestFit="1" customWidth="1"/>
    <col min="10497" max="10497" width="0" style="263" hidden="1" customWidth="1"/>
    <col min="10498" max="10498" width="23.33203125" style="263" bestFit="1" customWidth="1"/>
    <col min="10499" max="10499" width="14.77734375" style="263" bestFit="1" customWidth="1"/>
    <col min="10500" max="10500" width="6.6640625" style="263" bestFit="1" customWidth="1"/>
    <col min="10501" max="10501" width="14.44140625" style="263" customWidth="1"/>
    <col min="10502" max="10502" width="18.21875" style="263" customWidth="1"/>
    <col min="10503" max="10503" width="18.5546875" style="263" customWidth="1"/>
    <col min="10504" max="10504" width="17" style="263" customWidth="1"/>
    <col min="10505" max="10505" width="9.44140625" style="263" customWidth="1"/>
    <col min="10506" max="10506" width="3.21875" style="263" customWidth="1"/>
    <col min="10507" max="10507" width="6.5546875" style="263" customWidth="1"/>
    <col min="10508" max="10508" width="4.21875" style="263" customWidth="1"/>
    <col min="10509" max="10509" width="8.77734375" style="263"/>
    <col min="10510" max="10510" width="17.44140625" style="263" customWidth="1"/>
    <col min="10511" max="10511" width="7.44140625" style="263" customWidth="1"/>
    <col min="10512" max="10512" width="8.21875" style="263" customWidth="1"/>
    <col min="10513" max="10513" width="11.21875" style="263" customWidth="1"/>
    <col min="10514" max="10514" width="9" style="263" customWidth="1"/>
    <col min="10515" max="10515" width="8.77734375" style="263"/>
    <col min="10516" max="10516" width="11.21875" style="263" customWidth="1"/>
    <col min="10517" max="10517" width="13.6640625" style="263" customWidth="1"/>
    <col min="10518" max="10518" width="14.109375" style="263" customWidth="1"/>
    <col min="10519" max="10519" width="10.44140625" style="263" customWidth="1"/>
    <col min="10520" max="10520" width="6.88671875" style="263" customWidth="1"/>
    <col min="10521" max="10750" width="8.77734375" style="263"/>
    <col min="10751" max="10751" width="10.88671875" style="263" bestFit="1" customWidth="1"/>
    <col min="10752" max="10752" width="8.21875" style="263" bestFit="1" customWidth="1"/>
    <col min="10753" max="10753" width="0" style="263" hidden="1" customWidth="1"/>
    <col min="10754" max="10754" width="23.33203125" style="263" bestFit="1" customWidth="1"/>
    <col min="10755" max="10755" width="14.77734375" style="263" bestFit="1" customWidth="1"/>
    <col min="10756" max="10756" width="6.6640625" style="263" bestFit="1" customWidth="1"/>
    <col min="10757" max="10757" width="14.44140625" style="263" customWidth="1"/>
    <col min="10758" max="10758" width="18.21875" style="263" customWidth="1"/>
    <col min="10759" max="10759" width="18.5546875" style="263" customWidth="1"/>
    <col min="10760" max="10760" width="17" style="263" customWidth="1"/>
    <col min="10761" max="10761" width="9.44140625" style="263" customWidth="1"/>
    <col min="10762" max="10762" width="3.21875" style="263" customWidth="1"/>
    <col min="10763" max="10763" width="6.5546875" style="263" customWidth="1"/>
    <col min="10764" max="10764" width="4.21875" style="263" customWidth="1"/>
    <col min="10765" max="10765" width="8.77734375" style="263"/>
    <col min="10766" max="10766" width="17.44140625" style="263" customWidth="1"/>
    <col min="10767" max="10767" width="7.44140625" style="263" customWidth="1"/>
    <col min="10768" max="10768" width="8.21875" style="263" customWidth="1"/>
    <col min="10769" max="10769" width="11.21875" style="263" customWidth="1"/>
    <col min="10770" max="10770" width="9" style="263" customWidth="1"/>
    <col min="10771" max="10771" width="8.77734375" style="263"/>
    <col min="10772" max="10772" width="11.21875" style="263" customWidth="1"/>
    <col min="10773" max="10773" width="13.6640625" style="263" customWidth="1"/>
    <col min="10774" max="10774" width="14.109375" style="263" customWidth="1"/>
    <col min="10775" max="10775" width="10.44140625" style="263" customWidth="1"/>
    <col min="10776" max="10776" width="6.88671875" style="263" customWidth="1"/>
    <col min="10777" max="11006" width="8.77734375" style="263"/>
    <col min="11007" max="11007" width="10.88671875" style="263" bestFit="1" customWidth="1"/>
    <col min="11008" max="11008" width="8.21875" style="263" bestFit="1" customWidth="1"/>
    <col min="11009" max="11009" width="0" style="263" hidden="1" customWidth="1"/>
    <col min="11010" max="11010" width="23.33203125" style="263" bestFit="1" customWidth="1"/>
    <col min="11011" max="11011" width="14.77734375" style="263" bestFit="1" customWidth="1"/>
    <col min="11012" max="11012" width="6.6640625" style="263" bestFit="1" customWidth="1"/>
    <col min="11013" max="11013" width="14.44140625" style="263" customWidth="1"/>
    <col min="11014" max="11014" width="18.21875" style="263" customWidth="1"/>
    <col min="11015" max="11015" width="18.5546875" style="263" customWidth="1"/>
    <col min="11016" max="11016" width="17" style="263" customWidth="1"/>
    <col min="11017" max="11017" width="9.44140625" style="263" customWidth="1"/>
    <col min="11018" max="11018" width="3.21875" style="263" customWidth="1"/>
    <col min="11019" max="11019" width="6.5546875" style="263" customWidth="1"/>
    <col min="11020" max="11020" width="4.21875" style="263" customWidth="1"/>
    <col min="11021" max="11021" width="8.77734375" style="263"/>
    <col min="11022" max="11022" width="17.44140625" style="263" customWidth="1"/>
    <col min="11023" max="11023" width="7.44140625" style="263" customWidth="1"/>
    <col min="11024" max="11024" width="8.21875" style="263" customWidth="1"/>
    <col min="11025" max="11025" width="11.21875" style="263" customWidth="1"/>
    <col min="11026" max="11026" width="9" style="263" customWidth="1"/>
    <col min="11027" max="11027" width="8.77734375" style="263"/>
    <col min="11028" max="11028" width="11.21875" style="263" customWidth="1"/>
    <col min="11029" max="11029" width="13.6640625" style="263" customWidth="1"/>
    <col min="11030" max="11030" width="14.109375" style="263" customWidth="1"/>
    <col min="11031" max="11031" width="10.44140625" style="263" customWidth="1"/>
    <col min="11032" max="11032" width="6.88671875" style="263" customWidth="1"/>
    <col min="11033" max="11262" width="8.77734375" style="263"/>
    <col min="11263" max="11263" width="10.88671875" style="263" bestFit="1" customWidth="1"/>
    <col min="11264" max="11264" width="8.21875" style="263" bestFit="1" customWidth="1"/>
    <col min="11265" max="11265" width="0" style="263" hidden="1" customWidth="1"/>
    <col min="11266" max="11266" width="23.33203125" style="263" bestFit="1" customWidth="1"/>
    <col min="11267" max="11267" width="14.77734375" style="263" bestFit="1" customWidth="1"/>
    <col min="11268" max="11268" width="6.6640625" style="263" bestFit="1" customWidth="1"/>
    <col min="11269" max="11269" width="14.44140625" style="263" customWidth="1"/>
    <col min="11270" max="11270" width="18.21875" style="263" customWidth="1"/>
    <col min="11271" max="11271" width="18.5546875" style="263" customWidth="1"/>
    <col min="11272" max="11272" width="17" style="263" customWidth="1"/>
    <col min="11273" max="11273" width="9.44140625" style="263" customWidth="1"/>
    <col min="11274" max="11274" width="3.21875" style="263" customWidth="1"/>
    <col min="11275" max="11275" width="6.5546875" style="263" customWidth="1"/>
    <col min="11276" max="11276" width="4.21875" style="263" customWidth="1"/>
    <col min="11277" max="11277" width="8.77734375" style="263"/>
    <col min="11278" max="11278" width="17.44140625" style="263" customWidth="1"/>
    <col min="11279" max="11279" width="7.44140625" style="263" customWidth="1"/>
    <col min="11280" max="11280" width="8.21875" style="263" customWidth="1"/>
    <col min="11281" max="11281" width="11.21875" style="263" customWidth="1"/>
    <col min="11282" max="11282" width="9" style="263" customWidth="1"/>
    <col min="11283" max="11283" width="8.77734375" style="263"/>
    <col min="11284" max="11284" width="11.21875" style="263" customWidth="1"/>
    <col min="11285" max="11285" width="13.6640625" style="263" customWidth="1"/>
    <col min="11286" max="11286" width="14.109375" style="263" customWidth="1"/>
    <col min="11287" max="11287" width="10.44140625" style="263" customWidth="1"/>
    <col min="11288" max="11288" width="6.88671875" style="263" customWidth="1"/>
    <col min="11289" max="11518" width="8.77734375" style="263"/>
    <col min="11519" max="11519" width="10.88671875" style="263" bestFit="1" customWidth="1"/>
    <col min="11520" max="11520" width="8.21875" style="263" bestFit="1" customWidth="1"/>
    <col min="11521" max="11521" width="0" style="263" hidden="1" customWidth="1"/>
    <col min="11522" max="11522" width="23.33203125" style="263" bestFit="1" customWidth="1"/>
    <col min="11523" max="11523" width="14.77734375" style="263" bestFit="1" customWidth="1"/>
    <col min="11524" max="11524" width="6.6640625" style="263" bestFit="1" customWidth="1"/>
    <col min="11525" max="11525" width="14.44140625" style="263" customWidth="1"/>
    <col min="11526" max="11526" width="18.21875" style="263" customWidth="1"/>
    <col min="11527" max="11527" width="18.5546875" style="263" customWidth="1"/>
    <col min="11528" max="11528" width="17" style="263" customWidth="1"/>
    <col min="11529" max="11529" width="9.44140625" style="263" customWidth="1"/>
    <col min="11530" max="11530" width="3.21875" style="263" customWidth="1"/>
    <col min="11531" max="11531" width="6.5546875" style="263" customWidth="1"/>
    <col min="11532" max="11532" width="4.21875" style="263" customWidth="1"/>
    <col min="11533" max="11533" width="8.77734375" style="263"/>
    <col min="11534" max="11534" width="17.44140625" style="263" customWidth="1"/>
    <col min="11535" max="11535" width="7.44140625" style="263" customWidth="1"/>
    <col min="11536" max="11536" width="8.21875" style="263" customWidth="1"/>
    <col min="11537" max="11537" width="11.21875" style="263" customWidth="1"/>
    <col min="11538" max="11538" width="9" style="263" customWidth="1"/>
    <col min="11539" max="11539" width="8.77734375" style="263"/>
    <col min="11540" max="11540" width="11.21875" style="263" customWidth="1"/>
    <col min="11541" max="11541" width="13.6640625" style="263" customWidth="1"/>
    <col min="11542" max="11542" width="14.109375" style="263" customWidth="1"/>
    <col min="11543" max="11543" width="10.44140625" style="263" customWidth="1"/>
    <col min="11544" max="11544" width="6.88671875" style="263" customWidth="1"/>
    <col min="11545" max="11774" width="8.77734375" style="263"/>
    <col min="11775" max="11775" width="10.88671875" style="263" bestFit="1" customWidth="1"/>
    <col min="11776" max="11776" width="8.21875" style="263" bestFit="1" customWidth="1"/>
    <col min="11777" max="11777" width="0" style="263" hidden="1" customWidth="1"/>
    <col min="11778" max="11778" width="23.33203125" style="263" bestFit="1" customWidth="1"/>
    <col min="11779" max="11779" width="14.77734375" style="263" bestFit="1" customWidth="1"/>
    <col min="11780" max="11780" width="6.6640625" style="263" bestFit="1" customWidth="1"/>
    <col min="11781" max="11781" width="14.44140625" style="263" customWidth="1"/>
    <col min="11782" max="11782" width="18.21875" style="263" customWidth="1"/>
    <col min="11783" max="11783" width="18.5546875" style="263" customWidth="1"/>
    <col min="11784" max="11784" width="17" style="263" customWidth="1"/>
    <col min="11785" max="11785" width="9.44140625" style="263" customWidth="1"/>
    <col min="11786" max="11786" width="3.21875" style="263" customWidth="1"/>
    <col min="11787" max="11787" width="6.5546875" style="263" customWidth="1"/>
    <col min="11788" max="11788" width="4.21875" style="263" customWidth="1"/>
    <col min="11789" max="11789" width="8.77734375" style="263"/>
    <col min="11790" max="11790" width="17.44140625" style="263" customWidth="1"/>
    <col min="11791" max="11791" width="7.44140625" style="263" customWidth="1"/>
    <col min="11792" max="11792" width="8.21875" style="263" customWidth="1"/>
    <col min="11793" max="11793" width="11.21875" style="263" customWidth="1"/>
    <col min="11794" max="11794" width="9" style="263" customWidth="1"/>
    <col min="11795" max="11795" width="8.77734375" style="263"/>
    <col min="11796" max="11796" width="11.21875" style="263" customWidth="1"/>
    <col min="11797" max="11797" width="13.6640625" style="263" customWidth="1"/>
    <col min="11798" max="11798" width="14.109375" style="263" customWidth="1"/>
    <col min="11799" max="11799" width="10.44140625" style="263" customWidth="1"/>
    <col min="11800" max="11800" width="6.88671875" style="263" customWidth="1"/>
    <col min="11801" max="12030" width="8.77734375" style="263"/>
    <col min="12031" max="12031" width="10.88671875" style="263" bestFit="1" customWidth="1"/>
    <col min="12032" max="12032" width="8.21875" style="263" bestFit="1" customWidth="1"/>
    <col min="12033" max="12033" width="0" style="263" hidden="1" customWidth="1"/>
    <col min="12034" max="12034" width="23.33203125" style="263" bestFit="1" customWidth="1"/>
    <col min="12035" max="12035" width="14.77734375" style="263" bestFit="1" customWidth="1"/>
    <col min="12036" max="12036" width="6.6640625" style="263" bestFit="1" customWidth="1"/>
    <col min="12037" max="12037" width="14.44140625" style="263" customWidth="1"/>
    <col min="12038" max="12038" width="18.21875" style="263" customWidth="1"/>
    <col min="12039" max="12039" width="18.5546875" style="263" customWidth="1"/>
    <col min="12040" max="12040" width="17" style="263" customWidth="1"/>
    <col min="12041" max="12041" width="9.44140625" style="263" customWidth="1"/>
    <col min="12042" max="12042" width="3.21875" style="263" customWidth="1"/>
    <col min="12043" max="12043" width="6.5546875" style="263" customWidth="1"/>
    <col min="12044" max="12044" width="4.21875" style="263" customWidth="1"/>
    <col min="12045" max="12045" width="8.77734375" style="263"/>
    <col min="12046" max="12046" width="17.44140625" style="263" customWidth="1"/>
    <col min="12047" max="12047" width="7.44140625" style="263" customWidth="1"/>
    <col min="12048" max="12048" width="8.21875" style="263" customWidth="1"/>
    <col min="12049" max="12049" width="11.21875" style="263" customWidth="1"/>
    <col min="12050" max="12050" width="9" style="263" customWidth="1"/>
    <col min="12051" max="12051" width="8.77734375" style="263"/>
    <col min="12052" max="12052" width="11.21875" style="263" customWidth="1"/>
    <col min="12053" max="12053" width="13.6640625" style="263" customWidth="1"/>
    <col min="12054" max="12054" width="14.109375" style="263" customWidth="1"/>
    <col min="12055" max="12055" width="10.44140625" style="263" customWidth="1"/>
    <col min="12056" max="12056" width="6.88671875" style="263" customWidth="1"/>
    <col min="12057" max="12286" width="8.77734375" style="263"/>
    <col min="12287" max="12287" width="10.88671875" style="263" bestFit="1" customWidth="1"/>
    <col min="12288" max="12288" width="8.21875" style="263" bestFit="1" customWidth="1"/>
    <col min="12289" max="12289" width="0" style="263" hidden="1" customWidth="1"/>
    <col min="12290" max="12290" width="23.33203125" style="263" bestFit="1" customWidth="1"/>
    <col min="12291" max="12291" width="14.77734375" style="263" bestFit="1" customWidth="1"/>
    <col min="12292" max="12292" width="6.6640625" style="263" bestFit="1" customWidth="1"/>
    <col min="12293" max="12293" width="14.44140625" style="263" customWidth="1"/>
    <col min="12294" max="12294" width="18.21875" style="263" customWidth="1"/>
    <col min="12295" max="12295" width="18.5546875" style="263" customWidth="1"/>
    <col min="12296" max="12296" width="17" style="263" customWidth="1"/>
    <col min="12297" max="12297" width="9.44140625" style="263" customWidth="1"/>
    <col min="12298" max="12298" width="3.21875" style="263" customWidth="1"/>
    <col min="12299" max="12299" width="6.5546875" style="263" customWidth="1"/>
    <col min="12300" max="12300" width="4.21875" style="263" customWidth="1"/>
    <col min="12301" max="12301" width="8.77734375" style="263"/>
    <col min="12302" max="12302" width="17.44140625" style="263" customWidth="1"/>
    <col min="12303" max="12303" width="7.44140625" style="263" customWidth="1"/>
    <col min="12304" max="12304" width="8.21875" style="263" customWidth="1"/>
    <col min="12305" max="12305" width="11.21875" style="263" customWidth="1"/>
    <col min="12306" max="12306" width="9" style="263" customWidth="1"/>
    <col min="12307" max="12307" width="8.77734375" style="263"/>
    <col min="12308" max="12308" width="11.21875" style="263" customWidth="1"/>
    <col min="12309" max="12309" width="13.6640625" style="263" customWidth="1"/>
    <col min="12310" max="12310" width="14.109375" style="263" customWidth="1"/>
    <col min="12311" max="12311" width="10.44140625" style="263" customWidth="1"/>
    <col min="12312" max="12312" width="6.88671875" style="263" customWidth="1"/>
    <col min="12313" max="12542" width="8.77734375" style="263"/>
    <col min="12543" max="12543" width="10.88671875" style="263" bestFit="1" customWidth="1"/>
    <col min="12544" max="12544" width="8.21875" style="263" bestFit="1" customWidth="1"/>
    <col min="12545" max="12545" width="0" style="263" hidden="1" customWidth="1"/>
    <col min="12546" max="12546" width="23.33203125" style="263" bestFit="1" customWidth="1"/>
    <col min="12547" max="12547" width="14.77734375" style="263" bestFit="1" customWidth="1"/>
    <col min="12548" max="12548" width="6.6640625" style="263" bestFit="1" customWidth="1"/>
    <col min="12549" max="12549" width="14.44140625" style="263" customWidth="1"/>
    <col min="12550" max="12550" width="18.21875" style="263" customWidth="1"/>
    <col min="12551" max="12551" width="18.5546875" style="263" customWidth="1"/>
    <col min="12552" max="12552" width="17" style="263" customWidth="1"/>
    <col min="12553" max="12553" width="9.44140625" style="263" customWidth="1"/>
    <col min="12554" max="12554" width="3.21875" style="263" customWidth="1"/>
    <col min="12555" max="12555" width="6.5546875" style="263" customWidth="1"/>
    <col min="12556" max="12556" width="4.21875" style="263" customWidth="1"/>
    <col min="12557" max="12557" width="8.77734375" style="263"/>
    <col min="12558" max="12558" width="17.44140625" style="263" customWidth="1"/>
    <col min="12559" max="12559" width="7.44140625" style="263" customWidth="1"/>
    <col min="12560" max="12560" width="8.21875" style="263" customWidth="1"/>
    <col min="12561" max="12561" width="11.21875" style="263" customWidth="1"/>
    <col min="12562" max="12562" width="9" style="263" customWidth="1"/>
    <col min="12563" max="12563" width="8.77734375" style="263"/>
    <col min="12564" max="12564" width="11.21875" style="263" customWidth="1"/>
    <col min="12565" max="12565" width="13.6640625" style="263" customWidth="1"/>
    <col min="12566" max="12566" width="14.109375" style="263" customWidth="1"/>
    <col min="12567" max="12567" width="10.44140625" style="263" customWidth="1"/>
    <col min="12568" max="12568" width="6.88671875" style="263" customWidth="1"/>
    <col min="12569" max="12798" width="8.77734375" style="263"/>
    <col min="12799" max="12799" width="10.88671875" style="263" bestFit="1" customWidth="1"/>
    <col min="12800" max="12800" width="8.21875" style="263" bestFit="1" customWidth="1"/>
    <col min="12801" max="12801" width="0" style="263" hidden="1" customWidth="1"/>
    <col min="12802" max="12802" width="23.33203125" style="263" bestFit="1" customWidth="1"/>
    <col min="12803" max="12803" width="14.77734375" style="263" bestFit="1" customWidth="1"/>
    <col min="12804" max="12804" width="6.6640625" style="263" bestFit="1" customWidth="1"/>
    <col min="12805" max="12805" width="14.44140625" style="263" customWidth="1"/>
    <col min="12806" max="12806" width="18.21875" style="263" customWidth="1"/>
    <col min="12807" max="12807" width="18.5546875" style="263" customWidth="1"/>
    <col min="12808" max="12808" width="17" style="263" customWidth="1"/>
    <col min="12809" max="12809" width="9.44140625" style="263" customWidth="1"/>
    <col min="12810" max="12810" width="3.21875" style="263" customWidth="1"/>
    <col min="12811" max="12811" width="6.5546875" style="263" customWidth="1"/>
    <col min="12812" max="12812" width="4.21875" style="263" customWidth="1"/>
    <col min="12813" max="12813" width="8.77734375" style="263"/>
    <col min="12814" max="12814" width="17.44140625" style="263" customWidth="1"/>
    <col min="12815" max="12815" width="7.44140625" style="263" customWidth="1"/>
    <col min="12816" max="12816" width="8.21875" style="263" customWidth="1"/>
    <col min="12817" max="12817" width="11.21875" style="263" customWidth="1"/>
    <col min="12818" max="12818" width="9" style="263" customWidth="1"/>
    <col min="12819" max="12819" width="8.77734375" style="263"/>
    <col min="12820" max="12820" width="11.21875" style="263" customWidth="1"/>
    <col min="12821" max="12821" width="13.6640625" style="263" customWidth="1"/>
    <col min="12822" max="12822" width="14.109375" style="263" customWidth="1"/>
    <col min="12823" max="12823" width="10.44140625" style="263" customWidth="1"/>
    <col min="12824" max="12824" width="6.88671875" style="263" customWidth="1"/>
    <col min="12825" max="13054" width="8.77734375" style="263"/>
    <col min="13055" max="13055" width="10.88671875" style="263" bestFit="1" customWidth="1"/>
    <col min="13056" max="13056" width="8.21875" style="263" bestFit="1" customWidth="1"/>
    <col min="13057" max="13057" width="0" style="263" hidden="1" customWidth="1"/>
    <col min="13058" max="13058" width="23.33203125" style="263" bestFit="1" customWidth="1"/>
    <col min="13059" max="13059" width="14.77734375" style="263" bestFit="1" customWidth="1"/>
    <col min="13060" max="13060" width="6.6640625" style="263" bestFit="1" customWidth="1"/>
    <col min="13061" max="13061" width="14.44140625" style="263" customWidth="1"/>
    <col min="13062" max="13062" width="18.21875" style="263" customWidth="1"/>
    <col min="13063" max="13063" width="18.5546875" style="263" customWidth="1"/>
    <col min="13064" max="13064" width="17" style="263" customWidth="1"/>
    <col min="13065" max="13065" width="9.44140625" style="263" customWidth="1"/>
    <col min="13066" max="13066" width="3.21875" style="263" customWidth="1"/>
    <col min="13067" max="13067" width="6.5546875" style="263" customWidth="1"/>
    <col min="13068" max="13068" width="4.21875" style="263" customWidth="1"/>
    <col min="13069" max="13069" width="8.77734375" style="263"/>
    <col min="13070" max="13070" width="17.44140625" style="263" customWidth="1"/>
    <col min="13071" max="13071" width="7.44140625" style="263" customWidth="1"/>
    <col min="13072" max="13072" width="8.21875" style="263" customWidth="1"/>
    <col min="13073" max="13073" width="11.21875" style="263" customWidth="1"/>
    <col min="13074" max="13074" width="9" style="263" customWidth="1"/>
    <col min="13075" max="13075" width="8.77734375" style="263"/>
    <col min="13076" max="13076" width="11.21875" style="263" customWidth="1"/>
    <col min="13077" max="13077" width="13.6640625" style="263" customWidth="1"/>
    <col min="13078" max="13078" width="14.109375" style="263" customWidth="1"/>
    <col min="13079" max="13079" width="10.44140625" style="263" customWidth="1"/>
    <col min="13080" max="13080" width="6.88671875" style="263" customWidth="1"/>
    <col min="13081" max="13310" width="8.77734375" style="263"/>
    <col min="13311" max="13311" width="10.88671875" style="263" bestFit="1" customWidth="1"/>
    <col min="13312" max="13312" width="8.21875" style="263" bestFit="1" customWidth="1"/>
    <col min="13313" max="13313" width="0" style="263" hidden="1" customWidth="1"/>
    <col min="13314" max="13314" width="23.33203125" style="263" bestFit="1" customWidth="1"/>
    <col min="13315" max="13315" width="14.77734375" style="263" bestFit="1" customWidth="1"/>
    <col min="13316" max="13316" width="6.6640625" style="263" bestFit="1" customWidth="1"/>
    <col min="13317" max="13317" width="14.44140625" style="263" customWidth="1"/>
    <col min="13318" max="13318" width="18.21875" style="263" customWidth="1"/>
    <col min="13319" max="13319" width="18.5546875" style="263" customWidth="1"/>
    <col min="13320" max="13320" width="17" style="263" customWidth="1"/>
    <col min="13321" max="13321" width="9.44140625" style="263" customWidth="1"/>
    <col min="13322" max="13322" width="3.21875" style="263" customWidth="1"/>
    <col min="13323" max="13323" width="6.5546875" style="263" customWidth="1"/>
    <col min="13324" max="13324" width="4.21875" style="263" customWidth="1"/>
    <col min="13325" max="13325" width="8.77734375" style="263"/>
    <col min="13326" max="13326" width="17.44140625" style="263" customWidth="1"/>
    <col min="13327" max="13327" width="7.44140625" style="263" customWidth="1"/>
    <col min="13328" max="13328" width="8.21875" style="263" customWidth="1"/>
    <col min="13329" max="13329" width="11.21875" style="263" customWidth="1"/>
    <col min="13330" max="13330" width="9" style="263" customWidth="1"/>
    <col min="13331" max="13331" width="8.77734375" style="263"/>
    <col min="13332" max="13332" width="11.21875" style="263" customWidth="1"/>
    <col min="13333" max="13333" width="13.6640625" style="263" customWidth="1"/>
    <col min="13334" max="13334" width="14.109375" style="263" customWidth="1"/>
    <col min="13335" max="13335" width="10.44140625" style="263" customWidth="1"/>
    <col min="13336" max="13336" width="6.88671875" style="263" customWidth="1"/>
    <col min="13337" max="13566" width="8.77734375" style="263"/>
    <col min="13567" max="13567" width="10.88671875" style="263" bestFit="1" customWidth="1"/>
    <col min="13568" max="13568" width="8.21875" style="263" bestFit="1" customWidth="1"/>
    <col min="13569" max="13569" width="0" style="263" hidden="1" customWidth="1"/>
    <col min="13570" max="13570" width="23.33203125" style="263" bestFit="1" customWidth="1"/>
    <col min="13571" max="13571" width="14.77734375" style="263" bestFit="1" customWidth="1"/>
    <col min="13572" max="13572" width="6.6640625" style="263" bestFit="1" customWidth="1"/>
    <col min="13573" max="13573" width="14.44140625" style="263" customWidth="1"/>
    <col min="13574" max="13574" width="18.21875" style="263" customWidth="1"/>
    <col min="13575" max="13575" width="18.5546875" style="263" customWidth="1"/>
    <col min="13576" max="13576" width="17" style="263" customWidth="1"/>
    <col min="13577" max="13577" width="9.44140625" style="263" customWidth="1"/>
    <col min="13578" max="13578" width="3.21875" style="263" customWidth="1"/>
    <col min="13579" max="13579" width="6.5546875" style="263" customWidth="1"/>
    <col min="13580" max="13580" width="4.21875" style="263" customWidth="1"/>
    <col min="13581" max="13581" width="8.77734375" style="263"/>
    <col min="13582" max="13582" width="17.44140625" style="263" customWidth="1"/>
    <col min="13583" max="13583" width="7.44140625" style="263" customWidth="1"/>
    <col min="13584" max="13584" width="8.21875" style="263" customWidth="1"/>
    <col min="13585" max="13585" width="11.21875" style="263" customWidth="1"/>
    <col min="13586" max="13586" width="9" style="263" customWidth="1"/>
    <col min="13587" max="13587" width="8.77734375" style="263"/>
    <col min="13588" max="13588" width="11.21875" style="263" customWidth="1"/>
    <col min="13589" max="13589" width="13.6640625" style="263" customWidth="1"/>
    <col min="13590" max="13590" width="14.109375" style="263" customWidth="1"/>
    <col min="13591" max="13591" width="10.44140625" style="263" customWidth="1"/>
    <col min="13592" max="13592" width="6.88671875" style="263" customWidth="1"/>
    <col min="13593" max="13822" width="8.77734375" style="263"/>
    <col min="13823" max="13823" width="10.88671875" style="263" bestFit="1" customWidth="1"/>
    <col min="13824" max="13824" width="8.21875" style="263" bestFit="1" customWidth="1"/>
    <col min="13825" max="13825" width="0" style="263" hidden="1" customWidth="1"/>
    <col min="13826" max="13826" width="23.33203125" style="263" bestFit="1" customWidth="1"/>
    <col min="13827" max="13827" width="14.77734375" style="263" bestFit="1" customWidth="1"/>
    <col min="13828" max="13828" width="6.6640625" style="263" bestFit="1" customWidth="1"/>
    <col min="13829" max="13829" width="14.44140625" style="263" customWidth="1"/>
    <col min="13830" max="13830" width="18.21875" style="263" customWidth="1"/>
    <col min="13831" max="13831" width="18.5546875" style="263" customWidth="1"/>
    <col min="13832" max="13832" width="17" style="263" customWidth="1"/>
    <col min="13833" max="13833" width="9.44140625" style="263" customWidth="1"/>
    <col min="13834" max="13834" width="3.21875" style="263" customWidth="1"/>
    <col min="13835" max="13835" width="6.5546875" style="263" customWidth="1"/>
    <col min="13836" max="13836" width="4.21875" style="263" customWidth="1"/>
    <col min="13837" max="13837" width="8.77734375" style="263"/>
    <col min="13838" max="13838" width="17.44140625" style="263" customWidth="1"/>
    <col min="13839" max="13839" width="7.44140625" style="263" customWidth="1"/>
    <col min="13840" max="13840" width="8.21875" style="263" customWidth="1"/>
    <col min="13841" max="13841" width="11.21875" style="263" customWidth="1"/>
    <col min="13842" max="13842" width="9" style="263" customWidth="1"/>
    <col min="13843" max="13843" width="8.77734375" style="263"/>
    <col min="13844" max="13844" width="11.21875" style="263" customWidth="1"/>
    <col min="13845" max="13845" width="13.6640625" style="263" customWidth="1"/>
    <col min="13846" max="13846" width="14.109375" style="263" customWidth="1"/>
    <col min="13847" max="13847" width="10.44140625" style="263" customWidth="1"/>
    <col min="13848" max="13848" width="6.88671875" style="263" customWidth="1"/>
    <col min="13849" max="14078" width="8.77734375" style="263"/>
    <col min="14079" max="14079" width="10.88671875" style="263" bestFit="1" customWidth="1"/>
    <col min="14080" max="14080" width="8.21875" style="263" bestFit="1" customWidth="1"/>
    <col min="14081" max="14081" width="0" style="263" hidden="1" customWidth="1"/>
    <col min="14082" max="14082" width="23.33203125" style="263" bestFit="1" customWidth="1"/>
    <col min="14083" max="14083" width="14.77734375" style="263" bestFit="1" customWidth="1"/>
    <col min="14084" max="14084" width="6.6640625" style="263" bestFit="1" customWidth="1"/>
    <col min="14085" max="14085" width="14.44140625" style="263" customWidth="1"/>
    <col min="14086" max="14086" width="18.21875" style="263" customWidth="1"/>
    <col min="14087" max="14087" width="18.5546875" style="263" customWidth="1"/>
    <col min="14088" max="14088" width="17" style="263" customWidth="1"/>
    <col min="14089" max="14089" width="9.44140625" style="263" customWidth="1"/>
    <col min="14090" max="14090" width="3.21875" style="263" customWidth="1"/>
    <col min="14091" max="14091" width="6.5546875" style="263" customWidth="1"/>
    <col min="14092" max="14092" width="4.21875" style="263" customWidth="1"/>
    <col min="14093" max="14093" width="8.77734375" style="263"/>
    <col min="14094" max="14094" width="17.44140625" style="263" customWidth="1"/>
    <col min="14095" max="14095" width="7.44140625" style="263" customWidth="1"/>
    <col min="14096" max="14096" width="8.21875" style="263" customWidth="1"/>
    <col min="14097" max="14097" width="11.21875" style="263" customWidth="1"/>
    <col min="14098" max="14098" width="9" style="263" customWidth="1"/>
    <col min="14099" max="14099" width="8.77734375" style="263"/>
    <col min="14100" max="14100" width="11.21875" style="263" customWidth="1"/>
    <col min="14101" max="14101" width="13.6640625" style="263" customWidth="1"/>
    <col min="14102" max="14102" width="14.109375" style="263" customWidth="1"/>
    <col min="14103" max="14103" width="10.44140625" style="263" customWidth="1"/>
    <col min="14104" max="14104" width="6.88671875" style="263" customWidth="1"/>
    <col min="14105" max="14334" width="8.77734375" style="263"/>
    <col min="14335" max="14335" width="10.88671875" style="263" bestFit="1" customWidth="1"/>
    <col min="14336" max="14336" width="8.21875" style="263" bestFit="1" customWidth="1"/>
    <col min="14337" max="14337" width="0" style="263" hidden="1" customWidth="1"/>
    <col min="14338" max="14338" width="23.33203125" style="263" bestFit="1" customWidth="1"/>
    <col min="14339" max="14339" width="14.77734375" style="263" bestFit="1" customWidth="1"/>
    <col min="14340" max="14340" width="6.6640625" style="263" bestFit="1" customWidth="1"/>
    <col min="14341" max="14341" width="14.44140625" style="263" customWidth="1"/>
    <col min="14342" max="14342" width="18.21875" style="263" customWidth="1"/>
    <col min="14343" max="14343" width="18.5546875" style="263" customWidth="1"/>
    <col min="14344" max="14344" width="17" style="263" customWidth="1"/>
    <col min="14345" max="14345" width="9.44140625" style="263" customWidth="1"/>
    <col min="14346" max="14346" width="3.21875" style="263" customWidth="1"/>
    <col min="14347" max="14347" width="6.5546875" style="263" customWidth="1"/>
    <col min="14348" max="14348" width="4.21875" style="263" customWidth="1"/>
    <col min="14349" max="14349" width="8.77734375" style="263"/>
    <col min="14350" max="14350" width="17.44140625" style="263" customWidth="1"/>
    <col min="14351" max="14351" width="7.44140625" style="263" customWidth="1"/>
    <col min="14352" max="14352" width="8.21875" style="263" customWidth="1"/>
    <col min="14353" max="14353" width="11.21875" style="263" customWidth="1"/>
    <col min="14354" max="14354" width="9" style="263" customWidth="1"/>
    <col min="14355" max="14355" width="8.77734375" style="263"/>
    <col min="14356" max="14356" width="11.21875" style="263" customWidth="1"/>
    <col min="14357" max="14357" width="13.6640625" style="263" customWidth="1"/>
    <col min="14358" max="14358" width="14.109375" style="263" customWidth="1"/>
    <col min="14359" max="14359" width="10.44140625" style="263" customWidth="1"/>
    <col min="14360" max="14360" width="6.88671875" style="263" customWidth="1"/>
    <col min="14361" max="14590" width="8.77734375" style="263"/>
    <col min="14591" max="14591" width="10.88671875" style="263" bestFit="1" customWidth="1"/>
    <col min="14592" max="14592" width="8.21875" style="263" bestFit="1" customWidth="1"/>
    <col min="14593" max="14593" width="0" style="263" hidden="1" customWidth="1"/>
    <col min="14594" max="14594" width="23.33203125" style="263" bestFit="1" customWidth="1"/>
    <col min="14595" max="14595" width="14.77734375" style="263" bestFit="1" customWidth="1"/>
    <col min="14596" max="14596" width="6.6640625" style="263" bestFit="1" customWidth="1"/>
    <col min="14597" max="14597" width="14.44140625" style="263" customWidth="1"/>
    <col min="14598" max="14598" width="18.21875" style="263" customWidth="1"/>
    <col min="14599" max="14599" width="18.5546875" style="263" customWidth="1"/>
    <col min="14600" max="14600" width="17" style="263" customWidth="1"/>
    <col min="14601" max="14601" width="9.44140625" style="263" customWidth="1"/>
    <col min="14602" max="14602" width="3.21875" style="263" customWidth="1"/>
    <col min="14603" max="14603" width="6.5546875" style="263" customWidth="1"/>
    <col min="14604" max="14604" width="4.21875" style="263" customWidth="1"/>
    <col min="14605" max="14605" width="8.77734375" style="263"/>
    <col min="14606" max="14606" width="17.44140625" style="263" customWidth="1"/>
    <col min="14607" max="14607" width="7.44140625" style="263" customWidth="1"/>
    <col min="14608" max="14608" width="8.21875" style="263" customWidth="1"/>
    <col min="14609" max="14609" width="11.21875" style="263" customWidth="1"/>
    <col min="14610" max="14610" width="9" style="263" customWidth="1"/>
    <col min="14611" max="14611" width="8.77734375" style="263"/>
    <col min="14612" max="14612" width="11.21875" style="263" customWidth="1"/>
    <col min="14613" max="14613" width="13.6640625" style="263" customWidth="1"/>
    <col min="14614" max="14614" width="14.109375" style="263" customWidth="1"/>
    <col min="14615" max="14615" width="10.44140625" style="263" customWidth="1"/>
    <col min="14616" max="14616" width="6.88671875" style="263" customWidth="1"/>
    <col min="14617" max="14846" width="8.77734375" style="263"/>
    <col min="14847" max="14847" width="10.88671875" style="263" bestFit="1" customWidth="1"/>
    <col min="14848" max="14848" width="8.21875" style="263" bestFit="1" customWidth="1"/>
    <col min="14849" max="14849" width="0" style="263" hidden="1" customWidth="1"/>
    <col min="14850" max="14850" width="23.33203125" style="263" bestFit="1" customWidth="1"/>
    <col min="14851" max="14851" width="14.77734375" style="263" bestFit="1" customWidth="1"/>
    <col min="14852" max="14852" width="6.6640625" style="263" bestFit="1" customWidth="1"/>
    <col min="14853" max="14853" width="14.44140625" style="263" customWidth="1"/>
    <col min="14854" max="14854" width="18.21875" style="263" customWidth="1"/>
    <col min="14855" max="14855" width="18.5546875" style="263" customWidth="1"/>
    <col min="14856" max="14856" width="17" style="263" customWidth="1"/>
    <col min="14857" max="14857" width="9.44140625" style="263" customWidth="1"/>
    <col min="14858" max="14858" width="3.21875" style="263" customWidth="1"/>
    <col min="14859" max="14859" width="6.5546875" style="263" customWidth="1"/>
    <col min="14860" max="14860" width="4.21875" style="263" customWidth="1"/>
    <col min="14861" max="14861" width="8.77734375" style="263"/>
    <col min="14862" max="14862" width="17.44140625" style="263" customWidth="1"/>
    <col min="14863" max="14863" width="7.44140625" style="263" customWidth="1"/>
    <col min="14864" max="14864" width="8.21875" style="263" customWidth="1"/>
    <col min="14865" max="14865" width="11.21875" style="263" customWidth="1"/>
    <col min="14866" max="14866" width="9" style="263" customWidth="1"/>
    <col min="14867" max="14867" width="8.77734375" style="263"/>
    <col min="14868" max="14868" width="11.21875" style="263" customWidth="1"/>
    <col min="14869" max="14869" width="13.6640625" style="263" customWidth="1"/>
    <col min="14870" max="14870" width="14.109375" style="263" customWidth="1"/>
    <col min="14871" max="14871" width="10.44140625" style="263" customWidth="1"/>
    <col min="14872" max="14872" width="6.88671875" style="263" customWidth="1"/>
    <col min="14873" max="15102" width="8.77734375" style="263"/>
    <col min="15103" max="15103" width="10.88671875" style="263" bestFit="1" customWidth="1"/>
    <col min="15104" max="15104" width="8.21875" style="263" bestFit="1" customWidth="1"/>
    <col min="15105" max="15105" width="0" style="263" hidden="1" customWidth="1"/>
    <col min="15106" max="15106" width="23.33203125" style="263" bestFit="1" customWidth="1"/>
    <col min="15107" max="15107" width="14.77734375" style="263" bestFit="1" customWidth="1"/>
    <col min="15108" max="15108" width="6.6640625" style="263" bestFit="1" customWidth="1"/>
    <col min="15109" max="15109" width="14.44140625" style="263" customWidth="1"/>
    <col min="15110" max="15110" width="18.21875" style="263" customWidth="1"/>
    <col min="15111" max="15111" width="18.5546875" style="263" customWidth="1"/>
    <col min="15112" max="15112" width="17" style="263" customWidth="1"/>
    <col min="15113" max="15113" width="9.44140625" style="263" customWidth="1"/>
    <col min="15114" max="15114" width="3.21875" style="263" customWidth="1"/>
    <col min="15115" max="15115" width="6.5546875" style="263" customWidth="1"/>
    <col min="15116" max="15116" width="4.21875" style="263" customWidth="1"/>
    <col min="15117" max="15117" width="8.77734375" style="263"/>
    <col min="15118" max="15118" width="17.44140625" style="263" customWidth="1"/>
    <col min="15119" max="15119" width="7.44140625" style="263" customWidth="1"/>
    <col min="15120" max="15120" width="8.21875" style="263" customWidth="1"/>
    <col min="15121" max="15121" width="11.21875" style="263" customWidth="1"/>
    <col min="15122" max="15122" width="9" style="263" customWidth="1"/>
    <col min="15123" max="15123" width="8.77734375" style="263"/>
    <col min="15124" max="15124" width="11.21875" style="263" customWidth="1"/>
    <col min="15125" max="15125" width="13.6640625" style="263" customWidth="1"/>
    <col min="15126" max="15126" width="14.109375" style="263" customWidth="1"/>
    <col min="15127" max="15127" width="10.44140625" style="263" customWidth="1"/>
    <col min="15128" max="15128" width="6.88671875" style="263" customWidth="1"/>
    <col min="15129" max="15358" width="8.77734375" style="263"/>
    <col min="15359" max="15359" width="10.88671875" style="263" bestFit="1" customWidth="1"/>
    <col min="15360" max="15360" width="8.21875" style="263" bestFit="1" customWidth="1"/>
    <col min="15361" max="15361" width="0" style="263" hidden="1" customWidth="1"/>
    <col min="15362" max="15362" width="23.33203125" style="263" bestFit="1" customWidth="1"/>
    <col min="15363" max="15363" width="14.77734375" style="263" bestFit="1" customWidth="1"/>
    <col min="15364" max="15364" width="6.6640625" style="263" bestFit="1" customWidth="1"/>
    <col min="15365" max="15365" width="14.44140625" style="263" customWidth="1"/>
    <col min="15366" max="15366" width="18.21875" style="263" customWidth="1"/>
    <col min="15367" max="15367" width="18.5546875" style="263" customWidth="1"/>
    <col min="15368" max="15368" width="17" style="263" customWidth="1"/>
    <col min="15369" max="15369" width="9.44140625" style="263" customWidth="1"/>
    <col min="15370" max="15370" width="3.21875" style="263" customWidth="1"/>
    <col min="15371" max="15371" width="6.5546875" style="263" customWidth="1"/>
    <col min="15372" max="15372" width="4.21875" style="263" customWidth="1"/>
    <col min="15373" max="15373" width="8.77734375" style="263"/>
    <col min="15374" max="15374" width="17.44140625" style="263" customWidth="1"/>
    <col min="15375" max="15375" width="7.44140625" style="263" customWidth="1"/>
    <col min="15376" max="15376" width="8.21875" style="263" customWidth="1"/>
    <col min="15377" max="15377" width="11.21875" style="263" customWidth="1"/>
    <col min="15378" max="15378" width="9" style="263" customWidth="1"/>
    <col min="15379" max="15379" width="8.77734375" style="263"/>
    <col min="15380" max="15380" width="11.21875" style="263" customWidth="1"/>
    <col min="15381" max="15381" width="13.6640625" style="263" customWidth="1"/>
    <col min="15382" max="15382" width="14.109375" style="263" customWidth="1"/>
    <col min="15383" max="15383" width="10.44140625" style="263" customWidth="1"/>
    <col min="15384" max="15384" width="6.88671875" style="263" customWidth="1"/>
    <col min="15385" max="15614" width="8.77734375" style="263"/>
    <col min="15615" max="15615" width="10.88671875" style="263" bestFit="1" customWidth="1"/>
    <col min="15616" max="15616" width="8.21875" style="263" bestFit="1" customWidth="1"/>
    <col min="15617" max="15617" width="0" style="263" hidden="1" customWidth="1"/>
    <col min="15618" max="15618" width="23.33203125" style="263" bestFit="1" customWidth="1"/>
    <col min="15619" max="15619" width="14.77734375" style="263" bestFit="1" customWidth="1"/>
    <col min="15620" max="15620" width="6.6640625" style="263" bestFit="1" customWidth="1"/>
    <col min="15621" max="15621" width="14.44140625" style="263" customWidth="1"/>
    <col min="15622" max="15622" width="18.21875" style="263" customWidth="1"/>
    <col min="15623" max="15623" width="18.5546875" style="263" customWidth="1"/>
    <col min="15624" max="15624" width="17" style="263" customWidth="1"/>
    <col min="15625" max="15625" width="9.44140625" style="263" customWidth="1"/>
    <col min="15626" max="15626" width="3.21875" style="263" customWidth="1"/>
    <col min="15627" max="15627" width="6.5546875" style="263" customWidth="1"/>
    <col min="15628" max="15628" width="4.21875" style="263" customWidth="1"/>
    <col min="15629" max="15629" width="8.77734375" style="263"/>
    <col min="15630" max="15630" width="17.44140625" style="263" customWidth="1"/>
    <col min="15631" max="15631" width="7.44140625" style="263" customWidth="1"/>
    <col min="15632" max="15632" width="8.21875" style="263" customWidth="1"/>
    <col min="15633" max="15633" width="11.21875" style="263" customWidth="1"/>
    <col min="15634" max="15634" width="9" style="263" customWidth="1"/>
    <col min="15635" max="15635" width="8.77734375" style="263"/>
    <col min="15636" max="15636" width="11.21875" style="263" customWidth="1"/>
    <col min="15637" max="15637" width="13.6640625" style="263" customWidth="1"/>
    <col min="15638" max="15638" width="14.109375" style="263" customWidth="1"/>
    <col min="15639" max="15639" width="10.44140625" style="263" customWidth="1"/>
    <col min="15640" max="15640" width="6.88671875" style="263" customWidth="1"/>
    <col min="15641" max="15870" width="8.77734375" style="263"/>
    <col min="15871" max="15871" width="10.88671875" style="263" bestFit="1" customWidth="1"/>
    <col min="15872" max="15872" width="8.21875" style="263" bestFit="1" customWidth="1"/>
    <col min="15873" max="15873" width="0" style="263" hidden="1" customWidth="1"/>
    <col min="15874" max="15874" width="23.33203125" style="263" bestFit="1" customWidth="1"/>
    <col min="15875" max="15875" width="14.77734375" style="263" bestFit="1" customWidth="1"/>
    <col min="15876" max="15876" width="6.6640625" style="263" bestFit="1" customWidth="1"/>
    <col min="15877" max="15877" width="14.44140625" style="263" customWidth="1"/>
    <col min="15878" max="15878" width="18.21875" style="263" customWidth="1"/>
    <col min="15879" max="15879" width="18.5546875" style="263" customWidth="1"/>
    <col min="15880" max="15880" width="17" style="263" customWidth="1"/>
    <col min="15881" max="15881" width="9.44140625" style="263" customWidth="1"/>
    <col min="15882" max="15882" width="3.21875" style="263" customWidth="1"/>
    <col min="15883" max="15883" width="6.5546875" style="263" customWidth="1"/>
    <col min="15884" max="15884" width="4.21875" style="263" customWidth="1"/>
    <col min="15885" max="15885" width="8.77734375" style="263"/>
    <col min="15886" max="15886" width="17.44140625" style="263" customWidth="1"/>
    <col min="15887" max="15887" width="7.44140625" style="263" customWidth="1"/>
    <col min="15888" max="15888" width="8.21875" style="263" customWidth="1"/>
    <col min="15889" max="15889" width="11.21875" style="263" customWidth="1"/>
    <col min="15890" max="15890" width="9" style="263" customWidth="1"/>
    <col min="15891" max="15891" width="8.77734375" style="263"/>
    <col min="15892" max="15892" width="11.21875" style="263" customWidth="1"/>
    <col min="15893" max="15893" width="13.6640625" style="263" customWidth="1"/>
    <col min="15894" max="15894" width="14.109375" style="263" customWidth="1"/>
    <col min="15895" max="15895" width="10.44140625" style="263" customWidth="1"/>
    <col min="15896" max="15896" width="6.88671875" style="263" customWidth="1"/>
    <col min="15897" max="16126" width="8.77734375" style="263"/>
    <col min="16127" max="16127" width="10.88671875" style="263" bestFit="1" customWidth="1"/>
    <col min="16128" max="16128" width="8.21875" style="263" bestFit="1" customWidth="1"/>
    <col min="16129" max="16129" width="0" style="263" hidden="1" customWidth="1"/>
    <col min="16130" max="16130" width="23.33203125" style="263" bestFit="1" customWidth="1"/>
    <col min="16131" max="16131" width="14.77734375" style="263" bestFit="1" customWidth="1"/>
    <col min="16132" max="16132" width="6.6640625" style="263" bestFit="1" customWidth="1"/>
    <col min="16133" max="16133" width="14.44140625" style="263" customWidth="1"/>
    <col min="16134" max="16134" width="18.21875" style="263" customWidth="1"/>
    <col min="16135" max="16135" width="18.5546875" style="263" customWidth="1"/>
    <col min="16136" max="16136" width="17" style="263" customWidth="1"/>
    <col min="16137" max="16137" width="9.44140625" style="263" customWidth="1"/>
    <col min="16138" max="16138" width="3.21875" style="263" customWidth="1"/>
    <col min="16139" max="16139" width="6.5546875" style="263" customWidth="1"/>
    <col min="16140" max="16140" width="4.21875" style="263" customWidth="1"/>
    <col min="16141" max="16141" width="8.77734375" style="263"/>
    <col min="16142" max="16142" width="17.44140625" style="263" customWidth="1"/>
    <col min="16143" max="16143" width="7.44140625" style="263" customWidth="1"/>
    <col min="16144" max="16144" width="8.21875" style="263" customWidth="1"/>
    <col min="16145" max="16145" width="11.21875" style="263" customWidth="1"/>
    <col min="16146" max="16146" width="9" style="263" customWidth="1"/>
    <col min="16147" max="16147" width="8.77734375" style="263"/>
    <col min="16148" max="16148" width="11.21875" style="263" customWidth="1"/>
    <col min="16149" max="16149" width="13.6640625" style="263" customWidth="1"/>
    <col min="16150" max="16150" width="14.109375" style="263" customWidth="1"/>
    <col min="16151" max="16151" width="10.44140625" style="263" customWidth="1"/>
    <col min="16152" max="16152" width="6.88671875" style="263" customWidth="1"/>
    <col min="16153" max="16384" width="8.77734375" style="263"/>
  </cols>
  <sheetData>
    <row r="1" spans="1:24" s="260" customFormat="1">
      <c r="A1" s="260" t="s">
        <v>344</v>
      </c>
      <c r="B1" s="260" t="s">
        <v>345</v>
      </c>
      <c r="C1" s="260" t="s">
        <v>346</v>
      </c>
      <c r="D1" s="260" t="s">
        <v>347</v>
      </c>
      <c r="E1" s="261" t="s">
        <v>348</v>
      </c>
      <c r="F1" s="261" t="s">
        <v>377</v>
      </c>
      <c r="G1" s="260" t="s">
        <v>378</v>
      </c>
      <c r="H1" s="261" t="s">
        <v>379</v>
      </c>
      <c r="I1" s="260" t="s">
        <v>380</v>
      </c>
      <c r="J1" s="260" t="s">
        <v>349</v>
      </c>
      <c r="K1" s="260" t="s">
        <v>172</v>
      </c>
      <c r="L1" s="260" t="s">
        <v>350</v>
      </c>
      <c r="M1" s="262" t="s">
        <v>321</v>
      </c>
      <c r="N1" s="262" t="s">
        <v>351</v>
      </c>
      <c r="O1" s="260" t="s">
        <v>352</v>
      </c>
      <c r="P1" s="260" t="s">
        <v>353</v>
      </c>
      <c r="Q1" s="262" t="s">
        <v>354</v>
      </c>
      <c r="R1" s="262" t="s">
        <v>355</v>
      </c>
      <c r="S1" s="260" t="s">
        <v>356</v>
      </c>
      <c r="T1" s="262" t="s">
        <v>357</v>
      </c>
      <c r="U1" s="262" t="s">
        <v>358</v>
      </c>
      <c r="V1" s="260" t="s">
        <v>359</v>
      </c>
      <c r="W1" s="260" t="s">
        <v>367</v>
      </c>
      <c r="X1" s="260" t="s">
        <v>403</v>
      </c>
    </row>
    <row r="2" spans="1:24">
      <c r="B2" s="263" t="s">
        <v>278</v>
      </c>
      <c r="C2" s="344" t="s">
        <v>416</v>
      </c>
      <c r="D2" s="341" t="s">
        <v>405</v>
      </c>
      <c r="E2" s="264">
        <v>192816</v>
      </c>
      <c r="F2" s="264">
        <f>+E2</f>
        <v>192816</v>
      </c>
      <c r="G2" s="339">
        <v>0.03</v>
      </c>
      <c r="H2" s="265">
        <f>+F2*(1+G2)</f>
        <v>198600.48</v>
      </c>
      <c r="J2" s="263" t="s">
        <v>360</v>
      </c>
      <c r="K2" s="263" t="s">
        <v>232</v>
      </c>
      <c r="L2" s="263" t="s">
        <v>361</v>
      </c>
      <c r="M2" s="351">
        <f t="shared" ref="M2:M11" si="0">IF(K2=K2,1100,"")</f>
        <v>1100</v>
      </c>
      <c r="N2" s="266">
        <f t="shared" ref="N2:N10" si="1">+M2*12</f>
        <v>13200</v>
      </c>
      <c r="O2" s="266">
        <f>MIN(H2*0.006,(7000*0.006))</f>
        <v>42</v>
      </c>
      <c r="P2" s="266">
        <f>MIN(H2*0.027,(9000*0.027))</f>
        <v>243</v>
      </c>
      <c r="Q2" s="266">
        <f>IF(H2&gt;184500,184500*0.062,H2*0.062)</f>
        <v>11439</v>
      </c>
      <c r="R2" s="266">
        <f>+H2*0.0145</f>
        <v>2879.7069600000004</v>
      </c>
      <c r="S2" s="266">
        <f>+H2*1/100</f>
        <v>1986.0048000000002</v>
      </c>
      <c r="T2" s="266">
        <f>+H2*0.03</f>
        <v>5958.0144</v>
      </c>
      <c r="U2" s="266">
        <f>+H2*0.02</f>
        <v>3972.0096000000003</v>
      </c>
      <c r="V2" s="351"/>
      <c r="W2" s="351">
        <f t="shared" ref="W2:W12" si="2">+H2*X2</f>
        <v>29790.072</v>
      </c>
      <c r="X2" s="352">
        <v>0.15</v>
      </c>
    </row>
    <row r="3" spans="1:24">
      <c r="B3" s="263" t="s">
        <v>317</v>
      </c>
      <c r="C3" s="344" t="s">
        <v>416</v>
      </c>
      <c r="D3" s="341" t="s">
        <v>406</v>
      </c>
      <c r="E3" s="264">
        <v>161491</v>
      </c>
      <c r="F3" s="264">
        <f t="shared" ref="F3:F13" si="3">+E3</f>
        <v>161491</v>
      </c>
      <c r="G3" s="339">
        <v>0.03</v>
      </c>
      <c r="H3" s="265">
        <f t="shared" ref="H3:H13" si="4">+F3*(1+G3)</f>
        <v>166335.73000000001</v>
      </c>
      <c r="I3" s="264"/>
      <c r="J3" s="263" t="s">
        <v>360</v>
      </c>
      <c r="K3" s="263" t="s">
        <v>232</v>
      </c>
      <c r="L3" s="263" t="s">
        <v>361</v>
      </c>
      <c r="M3" s="351">
        <f t="shared" si="0"/>
        <v>1100</v>
      </c>
      <c r="N3" s="266">
        <f t="shared" si="1"/>
        <v>13200</v>
      </c>
      <c r="O3" s="266">
        <f t="shared" ref="O3:O13" si="5">MIN(H3*0.006,(7000*0.006))</f>
        <v>42</v>
      </c>
      <c r="P3" s="266">
        <f t="shared" ref="P3:P13" si="6">MIN(H3*0.027,(9000*0.027))</f>
        <v>243</v>
      </c>
      <c r="Q3" s="266">
        <f t="shared" ref="Q3:Q13" si="7">IF(H3&gt;184500,184500*0.062,H3*0.062)</f>
        <v>10312.815260000001</v>
      </c>
      <c r="R3" s="266">
        <f t="shared" ref="R3:R13" si="8">+H3*0.0145</f>
        <v>2411.8680850000001</v>
      </c>
      <c r="S3" s="266">
        <f t="shared" ref="S3:S13" si="9">+H3*1/100</f>
        <v>1663.3573000000001</v>
      </c>
      <c r="T3" s="266">
        <f t="shared" ref="T3:T11" si="10">+H3*0.03</f>
        <v>4990.0718999999999</v>
      </c>
      <c r="U3" s="266">
        <f t="shared" ref="U3:U11" si="11">+H3*0.02</f>
        <v>3326.7146000000002</v>
      </c>
      <c r="V3" s="351"/>
      <c r="W3" s="351">
        <f t="shared" si="2"/>
        <v>24950.359500000002</v>
      </c>
      <c r="X3" s="352">
        <v>0.15</v>
      </c>
    </row>
    <row r="4" spans="1:24">
      <c r="B4" s="263" t="s">
        <v>365</v>
      </c>
      <c r="C4" s="344" t="s">
        <v>416</v>
      </c>
      <c r="D4" s="341" t="s">
        <v>407</v>
      </c>
      <c r="E4" s="264">
        <v>117000</v>
      </c>
      <c r="F4" s="264">
        <f t="shared" si="3"/>
        <v>117000</v>
      </c>
      <c r="G4" s="339">
        <v>0.03</v>
      </c>
      <c r="H4" s="265">
        <f t="shared" si="4"/>
        <v>120510</v>
      </c>
      <c r="J4" s="263" t="s">
        <v>360</v>
      </c>
      <c r="K4" s="263" t="s">
        <v>232</v>
      </c>
      <c r="L4" s="263" t="s">
        <v>361</v>
      </c>
      <c r="M4" s="351">
        <f t="shared" si="0"/>
        <v>1100</v>
      </c>
      <c r="N4" s="266">
        <f t="shared" si="1"/>
        <v>13200</v>
      </c>
      <c r="O4" s="266">
        <f t="shared" si="5"/>
        <v>42</v>
      </c>
      <c r="P4" s="266">
        <f t="shared" si="6"/>
        <v>243</v>
      </c>
      <c r="Q4" s="266">
        <f t="shared" si="7"/>
        <v>7471.62</v>
      </c>
      <c r="R4" s="266">
        <f t="shared" si="8"/>
        <v>1747.395</v>
      </c>
      <c r="S4" s="266">
        <f t="shared" si="9"/>
        <v>1205.0999999999999</v>
      </c>
      <c r="T4" s="266">
        <f t="shared" si="10"/>
        <v>3615.2999999999997</v>
      </c>
      <c r="U4" s="266">
        <f t="shared" si="11"/>
        <v>2410.2000000000003</v>
      </c>
      <c r="V4" s="351">
        <v>1500</v>
      </c>
      <c r="W4" s="351">
        <f t="shared" si="2"/>
        <v>0</v>
      </c>
      <c r="X4" s="352">
        <v>0</v>
      </c>
    </row>
    <row r="5" spans="1:24">
      <c r="B5" s="263" t="s">
        <v>374</v>
      </c>
      <c r="C5" s="344" t="s">
        <v>416</v>
      </c>
      <c r="D5" s="341" t="s">
        <v>408</v>
      </c>
      <c r="E5" s="264">
        <v>6240</v>
      </c>
      <c r="F5" s="264">
        <f t="shared" si="3"/>
        <v>6240</v>
      </c>
      <c r="G5" s="339">
        <v>0.03</v>
      </c>
      <c r="H5" s="265">
        <f t="shared" si="4"/>
        <v>6427.2</v>
      </c>
      <c r="J5" s="319" t="s">
        <v>381</v>
      </c>
      <c r="K5" s="319" t="s">
        <v>233</v>
      </c>
      <c r="L5" s="319" t="s">
        <v>362</v>
      </c>
      <c r="M5" s="351">
        <v>0</v>
      </c>
      <c r="N5" s="266">
        <f t="shared" si="1"/>
        <v>0</v>
      </c>
      <c r="O5" s="266">
        <f t="shared" si="5"/>
        <v>38.563200000000002</v>
      </c>
      <c r="P5" s="266">
        <f t="shared" si="6"/>
        <v>173.53440000000001</v>
      </c>
      <c r="Q5" s="266">
        <f t="shared" si="7"/>
        <v>398.4864</v>
      </c>
      <c r="R5" s="266">
        <f t="shared" si="8"/>
        <v>93.194400000000002</v>
      </c>
      <c r="S5" s="266">
        <f t="shared" si="9"/>
        <v>64.271999999999991</v>
      </c>
      <c r="T5" s="266">
        <v>0</v>
      </c>
      <c r="U5" s="266">
        <v>0</v>
      </c>
      <c r="V5" s="351">
        <v>0</v>
      </c>
      <c r="W5" s="351">
        <f t="shared" si="2"/>
        <v>0</v>
      </c>
      <c r="X5" s="352">
        <v>0</v>
      </c>
    </row>
    <row r="6" spans="1:24">
      <c r="B6" s="263" t="s">
        <v>279</v>
      </c>
      <c r="C6" s="344" t="s">
        <v>416</v>
      </c>
      <c r="D6" s="341" t="s">
        <v>409</v>
      </c>
      <c r="E6" s="264">
        <v>122498.93000000001</v>
      </c>
      <c r="F6" s="264">
        <f t="shared" si="3"/>
        <v>122498.93000000001</v>
      </c>
      <c r="G6" s="339">
        <v>0.03</v>
      </c>
      <c r="H6" s="265">
        <f t="shared" si="4"/>
        <v>126173.89790000001</v>
      </c>
      <c r="I6" s="264"/>
      <c r="J6" s="263" t="s">
        <v>360</v>
      </c>
      <c r="K6" s="263" t="s">
        <v>232</v>
      </c>
      <c r="L6" s="263" t="s">
        <v>361</v>
      </c>
      <c r="M6" s="351">
        <f t="shared" si="0"/>
        <v>1100</v>
      </c>
      <c r="N6" s="266">
        <f t="shared" si="1"/>
        <v>13200</v>
      </c>
      <c r="O6" s="266">
        <f t="shared" si="5"/>
        <v>42</v>
      </c>
      <c r="P6" s="266">
        <f t="shared" si="6"/>
        <v>243</v>
      </c>
      <c r="Q6" s="266">
        <f t="shared" si="7"/>
        <v>7822.7816698000006</v>
      </c>
      <c r="R6" s="266">
        <f t="shared" si="8"/>
        <v>1829.5215195500002</v>
      </c>
      <c r="S6" s="266">
        <f t="shared" si="9"/>
        <v>1261.7389790000002</v>
      </c>
      <c r="T6" s="266">
        <f t="shared" si="10"/>
        <v>3785.2169370000001</v>
      </c>
      <c r="U6" s="266">
        <f t="shared" si="11"/>
        <v>2523.4779580000004</v>
      </c>
      <c r="V6" s="351">
        <v>1500</v>
      </c>
      <c r="W6" s="351">
        <f t="shared" si="2"/>
        <v>0</v>
      </c>
      <c r="X6" s="352">
        <v>0</v>
      </c>
    </row>
    <row r="7" spans="1:24">
      <c r="B7" s="263" t="s">
        <v>318</v>
      </c>
      <c r="C7" s="344" t="s">
        <v>416</v>
      </c>
      <c r="D7" s="341" t="s">
        <v>404</v>
      </c>
      <c r="E7" s="264">
        <v>89600</v>
      </c>
      <c r="F7" s="264">
        <f t="shared" si="3"/>
        <v>89600</v>
      </c>
      <c r="G7" s="339">
        <v>0.03</v>
      </c>
      <c r="H7" s="265">
        <f t="shared" si="4"/>
        <v>92288</v>
      </c>
      <c r="J7" s="263" t="s">
        <v>360</v>
      </c>
      <c r="K7" s="263" t="s">
        <v>232</v>
      </c>
      <c r="L7" s="263" t="s">
        <v>361</v>
      </c>
      <c r="M7" s="351">
        <f t="shared" si="0"/>
        <v>1100</v>
      </c>
      <c r="N7" s="266">
        <f t="shared" si="1"/>
        <v>13200</v>
      </c>
      <c r="O7" s="266">
        <f t="shared" si="5"/>
        <v>42</v>
      </c>
      <c r="P7" s="266">
        <f t="shared" si="6"/>
        <v>243</v>
      </c>
      <c r="Q7" s="266">
        <f t="shared" si="7"/>
        <v>5721.8559999999998</v>
      </c>
      <c r="R7" s="266">
        <f t="shared" si="8"/>
        <v>1338.1760000000002</v>
      </c>
      <c r="S7" s="266">
        <f t="shared" si="9"/>
        <v>922.88</v>
      </c>
      <c r="T7" s="266">
        <f t="shared" si="10"/>
        <v>2768.64</v>
      </c>
      <c r="U7" s="266">
        <f t="shared" si="11"/>
        <v>1845.76</v>
      </c>
      <c r="V7" s="351">
        <v>1500</v>
      </c>
      <c r="W7" s="351">
        <f t="shared" si="2"/>
        <v>0</v>
      </c>
      <c r="X7" s="352">
        <v>0</v>
      </c>
    </row>
    <row r="8" spans="1:24">
      <c r="B8" s="263" t="s">
        <v>364</v>
      </c>
      <c r="C8" s="344" t="s">
        <v>416</v>
      </c>
      <c r="D8" s="341" t="s">
        <v>404</v>
      </c>
      <c r="E8" s="264">
        <v>102499.9976</v>
      </c>
      <c r="F8" s="264">
        <f t="shared" si="3"/>
        <v>102499.9976</v>
      </c>
      <c r="G8" s="339">
        <v>0.03</v>
      </c>
      <c r="H8" s="265">
        <f t="shared" si="4"/>
        <v>105574.99752800001</v>
      </c>
      <c r="J8" s="263" t="s">
        <v>360</v>
      </c>
      <c r="K8" s="263" t="s">
        <v>232</v>
      </c>
      <c r="L8" s="263" t="s">
        <v>361</v>
      </c>
      <c r="M8" s="351">
        <f t="shared" si="0"/>
        <v>1100</v>
      </c>
      <c r="N8" s="266">
        <f t="shared" si="1"/>
        <v>13200</v>
      </c>
      <c r="O8" s="266">
        <f t="shared" si="5"/>
        <v>42</v>
      </c>
      <c r="P8" s="266">
        <f t="shared" si="6"/>
        <v>243</v>
      </c>
      <c r="Q8" s="266">
        <f t="shared" si="7"/>
        <v>6545.6498467360007</v>
      </c>
      <c r="R8" s="266">
        <f t="shared" si="8"/>
        <v>1530.8374641560001</v>
      </c>
      <c r="S8" s="266">
        <f t="shared" si="9"/>
        <v>1055.7499752800002</v>
      </c>
      <c r="T8" s="266">
        <f t="shared" si="10"/>
        <v>3167.2499258400003</v>
      </c>
      <c r="U8" s="266">
        <f t="shared" si="11"/>
        <v>2111.4999505600003</v>
      </c>
      <c r="V8" s="351">
        <v>1500</v>
      </c>
      <c r="W8" s="351">
        <f t="shared" si="2"/>
        <v>0</v>
      </c>
      <c r="X8" s="352">
        <v>0</v>
      </c>
    </row>
    <row r="9" spans="1:24">
      <c r="B9" s="263" t="s">
        <v>363</v>
      </c>
      <c r="C9" s="344" t="s">
        <v>416</v>
      </c>
      <c r="D9" s="341" t="s">
        <v>410</v>
      </c>
      <c r="E9" s="264">
        <v>62400</v>
      </c>
      <c r="F9" s="264">
        <f t="shared" si="3"/>
        <v>62400</v>
      </c>
      <c r="G9" s="339">
        <v>0.03</v>
      </c>
      <c r="H9" s="265">
        <f t="shared" si="4"/>
        <v>64272</v>
      </c>
      <c r="J9" s="263" t="s">
        <v>360</v>
      </c>
      <c r="K9" s="319" t="s">
        <v>232</v>
      </c>
      <c r="L9" s="319" t="s">
        <v>361</v>
      </c>
      <c r="M9" s="351">
        <f t="shared" si="0"/>
        <v>1100</v>
      </c>
      <c r="N9" s="266">
        <f t="shared" si="1"/>
        <v>13200</v>
      </c>
      <c r="O9" s="266">
        <f t="shared" si="5"/>
        <v>42</v>
      </c>
      <c r="P9" s="266">
        <f t="shared" si="6"/>
        <v>243</v>
      </c>
      <c r="Q9" s="266">
        <f t="shared" si="7"/>
        <v>3984.864</v>
      </c>
      <c r="R9" s="266">
        <f t="shared" si="8"/>
        <v>931.94400000000007</v>
      </c>
      <c r="S9" s="266">
        <f t="shared" si="9"/>
        <v>642.72</v>
      </c>
      <c r="T9" s="266">
        <f t="shared" si="10"/>
        <v>1928.1599999999999</v>
      </c>
      <c r="U9" s="266">
        <f t="shared" si="11"/>
        <v>1285.44</v>
      </c>
      <c r="V9" s="351">
        <v>1500</v>
      </c>
      <c r="W9" s="351">
        <f t="shared" si="2"/>
        <v>0</v>
      </c>
      <c r="X9" s="352">
        <v>0</v>
      </c>
    </row>
    <row r="10" spans="1:24" ht="13.9" customHeight="1">
      <c r="B10" s="263" t="s">
        <v>375</v>
      </c>
      <c r="C10" s="344" t="s">
        <v>416</v>
      </c>
      <c r="D10" s="341" t="s">
        <v>407</v>
      </c>
      <c r="E10" s="264">
        <v>128499.9976</v>
      </c>
      <c r="F10" s="264">
        <f t="shared" si="3"/>
        <v>128499.9976</v>
      </c>
      <c r="G10" s="339">
        <v>0.03</v>
      </c>
      <c r="H10" s="265">
        <f t="shared" si="4"/>
        <v>132354.99752800001</v>
      </c>
      <c r="J10" s="263" t="s">
        <v>115</v>
      </c>
      <c r="K10" s="263" t="s">
        <v>232</v>
      </c>
      <c r="L10" s="263" t="s">
        <v>361</v>
      </c>
      <c r="M10" s="351">
        <f t="shared" si="0"/>
        <v>1100</v>
      </c>
      <c r="N10" s="266">
        <f t="shared" si="1"/>
        <v>13200</v>
      </c>
      <c r="O10" s="266">
        <f t="shared" si="5"/>
        <v>42</v>
      </c>
      <c r="P10" s="266">
        <f t="shared" si="6"/>
        <v>243</v>
      </c>
      <c r="Q10" s="266">
        <f t="shared" si="7"/>
        <v>8206.0098467360003</v>
      </c>
      <c r="R10" s="266">
        <f t="shared" si="8"/>
        <v>1919.1474641560003</v>
      </c>
      <c r="S10" s="266">
        <f t="shared" si="9"/>
        <v>1323.5499752800001</v>
      </c>
      <c r="T10" s="266">
        <f t="shared" si="10"/>
        <v>3970.6499258399999</v>
      </c>
      <c r="U10" s="266">
        <f t="shared" si="11"/>
        <v>2647.0999505600003</v>
      </c>
      <c r="V10" s="351">
        <v>1500</v>
      </c>
      <c r="W10" s="351">
        <f t="shared" si="2"/>
        <v>0</v>
      </c>
      <c r="X10" s="352">
        <v>0</v>
      </c>
    </row>
    <row r="11" spans="1:24" ht="13.9" customHeight="1">
      <c r="B11" s="263" t="s">
        <v>376</v>
      </c>
      <c r="C11" s="344" t="s">
        <v>416</v>
      </c>
      <c r="D11" s="341" t="s">
        <v>411</v>
      </c>
      <c r="E11" s="264">
        <v>89400.001600000003</v>
      </c>
      <c r="F11" s="264">
        <f t="shared" si="3"/>
        <v>89400.001600000003</v>
      </c>
      <c r="G11" s="339">
        <v>0.03</v>
      </c>
      <c r="H11" s="265">
        <f t="shared" si="4"/>
        <v>92082.001648000005</v>
      </c>
      <c r="J11" s="263" t="s">
        <v>115</v>
      </c>
      <c r="K11" s="263" t="s">
        <v>232</v>
      </c>
      <c r="L11" s="263" t="s">
        <v>361</v>
      </c>
      <c r="M11" s="351">
        <f t="shared" si="0"/>
        <v>1100</v>
      </c>
      <c r="N11" s="266">
        <f t="shared" ref="N11:N13" si="12">+M11*12</f>
        <v>13200</v>
      </c>
      <c r="O11" s="266">
        <f t="shared" si="5"/>
        <v>42</v>
      </c>
      <c r="P11" s="266">
        <f t="shared" si="6"/>
        <v>243</v>
      </c>
      <c r="Q11" s="266">
        <f t="shared" si="7"/>
        <v>5709.0841021760007</v>
      </c>
      <c r="R11" s="266">
        <f t="shared" si="8"/>
        <v>1335.1890238960002</v>
      </c>
      <c r="S11" s="266">
        <f t="shared" si="9"/>
        <v>920.82001648000005</v>
      </c>
      <c r="T11" s="266">
        <f t="shared" si="10"/>
        <v>2762.4600494400001</v>
      </c>
      <c r="U11" s="266">
        <f t="shared" si="11"/>
        <v>1841.6400329600001</v>
      </c>
      <c r="V11" s="351">
        <v>1500</v>
      </c>
      <c r="W11" s="351">
        <f t="shared" si="2"/>
        <v>0</v>
      </c>
      <c r="X11" s="352">
        <v>0</v>
      </c>
    </row>
    <row r="12" spans="1:24" ht="13.9" customHeight="1">
      <c r="B12" s="263" t="s">
        <v>366</v>
      </c>
      <c r="C12" s="344" t="s">
        <v>416</v>
      </c>
      <c r="D12" s="341" t="s">
        <v>410</v>
      </c>
      <c r="E12" s="264">
        <v>1118</v>
      </c>
      <c r="F12" s="264">
        <f t="shared" si="3"/>
        <v>1118</v>
      </c>
      <c r="G12" s="339">
        <v>0.03</v>
      </c>
      <c r="H12" s="265">
        <f t="shared" si="4"/>
        <v>1151.54</v>
      </c>
      <c r="J12" s="319" t="s">
        <v>381</v>
      </c>
      <c r="K12" s="263" t="s">
        <v>233</v>
      </c>
      <c r="L12" s="263" t="s">
        <v>362</v>
      </c>
      <c r="M12" s="351">
        <v>0</v>
      </c>
      <c r="N12" s="266">
        <f t="shared" si="12"/>
        <v>0</v>
      </c>
      <c r="O12" s="266">
        <f t="shared" si="5"/>
        <v>6.9092399999999996</v>
      </c>
      <c r="P12" s="266">
        <f t="shared" si="6"/>
        <v>31.09158</v>
      </c>
      <c r="Q12" s="266">
        <f t="shared" si="7"/>
        <v>71.395479999999992</v>
      </c>
      <c r="R12" s="266">
        <f t="shared" si="8"/>
        <v>16.697330000000001</v>
      </c>
      <c r="S12" s="266">
        <f t="shared" si="9"/>
        <v>11.5154</v>
      </c>
      <c r="T12" s="266">
        <v>0</v>
      </c>
      <c r="U12" s="266">
        <v>0</v>
      </c>
      <c r="V12" s="351">
        <v>0</v>
      </c>
      <c r="W12" s="351">
        <f t="shared" si="2"/>
        <v>0</v>
      </c>
      <c r="X12" s="352">
        <v>0</v>
      </c>
    </row>
    <row r="13" spans="1:24" ht="13.9" customHeight="1">
      <c r="B13" s="263" t="s">
        <v>319</v>
      </c>
      <c r="C13" s="344" t="s">
        <v>416</v>
      </c>
      <c r="D13" s="341" t="s">
        <v>412</v>
      </c>
      <c r="E13" s="264">
        <v>4056</v>
      </c>
      <c r="F13" s="264">
        <f t="shared" si="3"/>
        <v>4056</v>
      </c>
      <c r="G13" s="339">
        <v>0.03</v>
      </c>
      <c r="H13" s="265">
        <f t="shared" si="4"/>
        <v>4177.68</v>
      </c>
      <c r="J13" s="319" t="s">
        <v>381</v>
      </c>
      <c r="K13" s="263" t="s">
        <v>233</v>
      </c>
      <c r="L13" s="263" t="s">
        <v>362</v>
      </c>
      <c r="M13" s="351">
        <v>0</v>
      </c>
      <c r="N13" s="266">
        <f t="shared" si="12"/>
        <v>0</v>
      </c>
      <c r="O13" s="266">
        <f t="shared" si="5"/>
        <v>25.066080000000003</v>
      </c>
      <c r="P13" s="266">
        <f t="shared" si="6"/>
        <v>112.79736000000001</v>
      </c>
      <c r="Q13" s="266">
        <f t="shared" si="7"/>
        <v>259.01616000000001</v>
      </c>
      <c r="R13" s="266">
        <f t="shared" si="8"/>
        <v>60.576360000000008</v>
      </c>
      <c r="S13" s="266">
        <f t="shared" si="9"/>
        <v>41.776800000000001</v>
      </c>
      <c r="T13" s="266">
        <v>0</v>
      </c>
      <c r="U13" s="266">
        <v>0</v>
      </c>
      <c r="V13" s="351">
        <v>0</v>
      </c>
      <c r="W13" s="351">
        <v>0</v>
      </c>
      <c r="X13" s="352">
        <v>0</v>
      </c>
    </row>
    <row r="14" spans="1:24">
      <c r="D14" s="317"/>
      <c r="F14" s="264"/>
      <c r="G14" s="340"/>
      <c r="H14" s="318"/>
      <c r="N14" s="269"/>
      <c r="O14" s="269"/>
      <c r="P14" s="269"/>
      <c r="Q14" s="269"/>
      <c r="R14" s="269"/>
      <c r="S14" s="269"/>
      <c r="T14" s="269"/>
      <c r="U14" s="269"/>
      <c r="V14" s="269"/>
      <c r="W14" s="268"/>
    </row>
    <row r="15" spans="1:24">
      <c r="W15" s="264"/>
    </row>
    <row r="16" spans="1:24">
      <c r="A16" s="263">
        <f>+COUNTA(B2:B14)</f>
        <v>12</v>
      </c>
      <c r="E16" s="270">
        <f>SUM(E2:E14)</f>
        <v>1077619.9268</v>
      </c>
      <c r="F16" s="270">
        <f>SUM(F2:F14)</f>
        <v>1077619.9268</v>
      </c>
      <c r="G16" s="271"/>
      <c r="H16" s="271">
        <f>SUM(H2:H14)</f>
        <v>1109948.5246040002</v>
      </c>
      <c r="I16" s="272"/>
      <c r="J16" s="272"/>
      <c r="K16" s="272"/>
      <c r="L16" s="272"/>
      <c r="M16" s="273"/>
      <c r="N16" s="277">
        <f t="shared" ref="N16:W16" si="13">SUM(N2:N15)</f>
        <v>118800</v>
      </c>
      <c r="O16" s="277">
        <f t="shared" si="13"/>
        <v>448.53852000000001</v>
      </c>
      <c r="P16" s="277">
        <f t="shared" si="13"/>
        <v>2504.4233399999998</v>
      </c>
      <c r="Q16" s="277">
        <f t="shared" si="13"/>
        <v>67942.578765448008</v>
      </c>
      <c r="R16" s="277">
        <f t="shared" si="13"/>
        <v>16094.253606758</v>
      </c>
      <c r="S16" s="277">
        <f t="shared" si="13"/>
        <v>11099.485246040002</v>
      </c>
      <c r="T16" s="278">
        <f>SUM(T2:T15)</f>
        <v>32945.763138120004</v>
      </c>
      <c r="U16" s="278">
        <f t="shared" si="13"/>
        <v>21963.842092080002</v>
      </c>
      <c r="V16" s="278">
        <f t="shared" si="13"/>
        <v>10500</v>
      </c>
      <c r="W16" s="278">
        <f t="shared" si="13"/>
        <v>54740.431500000006</v>
      </c>
    </row>
    <row r="17" spans="7:23">
      <c r="G17" s="263" t="s">
        <v>371</v>
      </c>
      <c r="H17" s="274">
        <f>+'Labor Rates-DP'!F45</f>
        <v>14205</v>
      </c>
    </row>
    <row r="18" spans="7:23">
      <c r="G18" s="264" t="s">
        <v>287</v>
      </c>
      <c r="H18" s="267">
        <f>+'Labor Rates-DP'!C45+'Labor Rates-DP'!D45+'Labor Rates-DP'!E45</f>
        <v>6015</v>
      </c>
      <c r="S18" s="275"/>
      <c r="T18" s="316">
        <f>+T16+U16</f>
        <v>54909.605230200003</v>
      </c>
      <c r="V18" s="338">
        <f>28000+12000</f>
        <v>40000</v>
      </c>
      <c r="W18" s="274"/>
    </row>
    <row r="19" spans="7:23">
      <c r="G19" s="263" t="s">
        <v>372</v>
      </c>
      <c r="H19" s="274">
        <f>SUM(H17:H18)</f>
        <v>20220</v>
      </c>
      <c r="T19" s="350" t="s">
        <v>417</v>
      </c>
      <c r="V19" s="350" t="s">
        <v>417</v>
      </c>
      <c r="W19" s="276"/>
    </row>
    <row r="20" spans="7:23">
      <c r="G20" s="263" t="s">
        <v>373</v>
      </c>
      <c r="H20" s="274">
        <f>+H16/H19</f>
        <v>54.893596666864497</v>
      </c>
    </row>
    <row r="22" spans="7:23">
      <c r="N22" s="336" t="s">
        <v>399</v>
      </c>
      <c r="O22" s="274">
        <f>SUM(N16:S16)+T18+V18</f>
        <v>311798.88470844598</v>
      </c>
    </row>
    <row r="24" spans="7:23">
      <c r="G24" s="266"/>
      <c r="H24" s="274"/>
    </row>
  </sheetData>
  <sheetProtection algorithmName="SHA-512" hashValue="jTDoZx8Sz50Z5V4uOGQjbRdMped//jdbKVg7qg4rvSFlhlzAsDYl24zXcVDnyvl0mbWXb8q1HNPCl9og368w7w==" saltValue="uVylWFIIByW8vXWqeVD+zA==" spinCount="100000" sheet="1" objects="1" scenarios="1"/>
  <autoFilter ref="A1:W10" xr:uid="{60DB6E92-D677-4D8D-8710-E02B6E2AE555}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0">
    <tabColor rgb="FF92D050"/>
    <pageSetUpPr fitToPage="1"/>
  </sheetPr>
  <dimension ref="A1:Z57"/>
  <sheetViews>
    <sheetView zoomScale="80" zoomScaleNormal="80" workbookViewId="0">
      <pane xSplit="1" ySplit="4" topLeftCell="B5" activePane="bottomRight" state="frozen"/>
      <selection activeCell="S25" sqref="S25"/>
      <selection pane="topRight" activeCell="S25" sqref="S25"/>
      <selection pane="bottomLeft" activeCell="S25" sqref="S25"/>
      <selection pane="bottomRight" activeCell="S25" sqref="S25"/>
    </sheetView>
  </sheetViews>
  <sheetFormatPr defaultRowHeight="15"/>
  <cols>
    <col min="1" max="1" width="28.77734375" bestFit="1" customWidth="1"/>
    <col min="2" max="12" width="11.44140625" customWidth="1"/>
    <col min="13" max="13" width="13.33203125" customWidth="1"/>
    <col min="14" max="14" width="20.5546875" bestFit="1" customWidth="1"/>
    <col min="15" max="15" width="12.33203125" customWidth="1"/>
    <col min="16" max="16" width="11.44140625" bestFit="1" customWidth="1"/>
    <col min="17" max="17" width="11.44140625" customWidth="1"/>
    <col min="18" max="20" width="11.44140625" bestFit="1" customWidth="1"/>
    <col min="23" max="23" width="11.77734375" bestFit="1" customWidth="1"/>
    <col min="26" max="26" width="42.5546875" style="51" customWidth="1"/>
  </cols>
  <sheetData>
    <row r="1" spans="1:26" ht="15.75">
      <c r="R1" s="7"/>
    </row>
    <row r="2" spans="1:26" ht="15.75">
      <c r="O2" s="57">
        <v>2026</v>
      </c>
      <c r="P2" s="7" t="s">
        <v>1</v>
      </c>
      <c r="Q2" s="7" t="s">
        <v>1</v>
      </c>
      <c r="R2" s="7" t="s">
        <v>1</v>
      </c>
      <c r="S2" s="7" t="s">
        <v>1</v>
      </c>
      <c r="T2" s="7" t="s">
        <v>1</v>
      </c>
      <c r="U2" s="7" t="s">
        <v>5</v>
      </c>
      <c r="V2" s="7" t="s">
        <v>5</v>
      </c>
      <c r="W2" s="7" t="s">
        <v>5</v>
      </c>
      <c r="X2" s="7" t="s">
        <v>5</v>
      </c>
      <c r="Y2" s="7" t="s">
        <v>5</v>
      </c>
    </row>
    <row r="3" spans="1:26" ht="15.75">
      <c r="B3" s="7" t="s">
        <v>201</v>
      </c>
      <c r="C3" s="7" t="s">
        <v>202</v>
      </c>
      <c r="D3" s="7" t="s">
        <v>203</v>
      </c>
      <c r="E3" s="7" t="s">
        <v>204</v>
      </c>
      <c r="F3" s="7" t="s">
        <v>185</v>
      </c>
      <c r="G3" s="7" t="s">
        <v>205</v>
      </c>
      <c r="H3" s="7" t="s">
        <v>187</v>
      </c>
      <c r="I3" s="7" t="s">
        <v>215</v>
      </c>
      <c r="J3" s="7" t="s">
        <v>211</v>
      </c>
      <c r="K3" s="7" t="s">
        <v>207</v>
      </c>
      <c r="L3" s="7" t="s">
        <v>208</v>
      </c>
      <c r="M3" s="7" t="s">
        <v>209</v>
      </c>
      <c r="N3" s="7" t="s">
        <v>27</v>
      </c>
      <c r="O3" s="58" t="s">
        <v>11</v>
      </c>
      <c r="P3" s="12" t="s">
        <v>12</v>
      </c>
      <c r="Q3" s="28">
        <v>2025</v>
      </c>
      <c r="R3" s="28">
        <v>2024</v>
      </c>
      <c r="S3" s="28">
        <v>2023</v>
      </c>
      <c r="T3" s="28">
        <f>+S3-1</f>
        <v>2022</v>
      </c>
      <c r="U3" s="12" t="s">
        <v>13</v>
      </c>
      <c r="V3" s="28">
        <f>+Q3</f>
        <v>2025</v>
      </c>
      <c r="W3" s="28">
        <f>+R3</f>
        <v>2024</v>
      </c>
      <c r="X3" s="28">
        <f>+S3</f>
        <v>2023</v>
      </c>
      <c r="Y3" s="28">
        <f>+T3</f>
        <v>2022</v>
      </c>
    </row>
    <row r="4" spans="1:26" ht="16.5" thickBot="1">
      <c r="A4" s="8" t="s">
        <v>255</v>
      </c>
      <c r="B4" s="32">
        <f>CVRIS!H7</f>
        <v>169093.85833333331</v>
      </c>
      <c r="C4" s="32">
        <f>CVRIS!I7</f>
        <v>169093.85833333331</v>
      </c>
      <c r="D4" s="32">
        <f>CVRIS!J7</f>
        <v>169093.85833333331</v>
      </c>
      <c r="E4" s="32">
        <f>CVRIS!K7</f>
        <v>169093.85833333331</v>
      </c>
      <c r="F4" s="32">
        <f>CVRIS!L7</f>
        <v>169093.85833333331</v>
      </c>
      <c r="G4" s="32">
        <f>CVRIS!M7</f>
        <v>169093.85833333331</v>
      </c>
      <c r="H4" s="32">
        <f>CVRIS!N7</f>
        <v>169093.85833333331</v>
      </c>
      <c r="I4" s="32">
        <f>CVRIS!O7</f>
        <v>169093.85833333331</v>
      </c>
      <c r="J4" s="32">
        <f>CVRIS!P7</f>
        <v>169093.85833333331</v>
      </c>
      <c r="K4" s="32">
        <f>CVRIS!Q7</f>
        <v>169093.85833333331</v>
      </c>
      <c r="L4" s="32">
        <f>CVRIS!R7</f>
        <v>169093.85833333331</v>
      </c>
      <c r="M4" s="32">
        <f>CVRIS!S7</f>
        <v>169093.85833333331</v>
      </c>
      <c r="N4" s="32">
        <f>SUM(B4:M4)</f>
        <v>2029126.3</v>
      </c>
      <c r="O4" s="23">
        <f>CVRIS!T7</f>
        <v>2029126.3</v>
      </c>
      <c r="P4" s="23">
        <f>AVERAGE(Q4:S4)</f>
        <v>994039.66666666663</v>
      </c>
      <c r="Q4" s="23">
        <f>CVRIS!F7</f>
        <v>1827505</v>
      </c>
      <c r="R4" s="32">
        <v>1044746</v>
      </c>
      <c r="S4" s="32">
        <v>109868</v>
      </c>
      <c r="T4" s="32">
        <v>0</v>
      </c>
      <c r="U4" s="29">
        <f>IFERROR(AVERAGE(W4:Y4),0)</f>
        <v>0.66666666666666663</v>
      </c>
      <c r="V4" s="33">
        <f>IFERROR(Q4/$R$4,0)</f>
        <v>1.7492337850539748</v>
      </c>
      <c r="W4" s="33">
        <f>IFERROR(R4/$R$4,0)</f>
        <v>1</v>
      </c>
      <c r="X4" s="33">
        <f>IFERROR(S4/$S$4,0)</f>
        <v>1</v>
      </c>
      <c r="Y4" s="33">
        <f>IFERROR(T4/$T$4,0)</f>
        <v>0</v>
      </c>
      <c r="Z4" s="37" t="s">
        <v>171</v>
      </c>
    </row>
    <row r="5" spans="1:26" ht="16.5" thickTop="1">
      <c r="O5" s="7"/>
      <c r="P5" s="7"/>
      <c r="Q5" s="7"/>
      <c r="R5" s="7"/>
      <c r="S5" s="7"/>
      <c r="T5" s="7"/>
      <c r="U5" s="7"/>
      <c r="V5" s="7"/>
      <c r="W5" s="30"/>
      <c r="X5" s="30"/>
      <c r="Y5" s="30"/>
    </row>
    <row r="6" spans="1:26" ht="15.75">
      <c r="A6" s="15" t="s">
        <v>332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4"/>
      <c r="P6" s="14"/>
      <c r="Q6" s="14"/>
      <c r="R6" s="112" t="s">
        <v>10</v>
      </c>
      <c r="S6" s="65" t="s">
        <v>10</v>
      </c>
      <c r="T6" s="65" t="s">
        <v>10</v>
      </c>
      <c r="U6" s="16"/>
      <c r="V6" s="16"/>
      <c r="W6" s="16"/>
      <c r="X6" s="16"/>
      <c r="Y6" s="16"/>
    </row>
    <row r="8" spans="1:26">
      <c r="A8" s="3" t="s">
        <v>333</v>
      </c>
      <c r="B8" s="19">
        <f>'06-60 EPC'!C68-B9</f>
        <v>22235.645595592745</v>
      </c>
      <c r="C8" s="19">
        <f>'06-60 EPC'!D68-C9</f>
        <v>22235.645595592745</v>
      </c>
      <c r="D8" s="19">
        <f>'06-60 EPC'!E68-D9</f>
        <v>22235.645595592745</v>
      </c>
      <c r="E8" s="19">
        <f>'06-60 EPC'!F68-E9</f>
        <v>22235.645595592745</v>
      </c>
      <c r="F8" s="19">
        <f>'06-60 EPC'!G68-F9</f>
        <v>22235.645595592745</v>
      </c>
      <c r="G8" s="19">
        <f>'06-60 EPC'!H68-G9</f>
        <v>22235.645595592745</v>
      </c>
      <c r="H8" s="19">
        <f>'06-60 EPC'!I68-H9</f>
        <v>22235.645595592745</v>
      </c>
      <c r="I8" s="19">
        <f>'06-60 EPC'!J68-I9</f>
        <v>22235.645595592745</v>
      </c>
      <c r="J8" s="19">
        <f>'06-60 EPC'!K68-J9</f>
        <v>22235.645595592745</v>
      </c>
      <c r="K8" s="19">
        <f>'06-60 EPC'!L68-K9</f>
        <v>22235.645595592745</v>
      </c>
      <c r="L8" s="19">
        <f>'06-60 EPC'!M68-L9</f>
        <v>22235.645595592745</v>
      </c>
      <c r="M8" s="19">
        <f>'06-60 EPC'!N68-M9</f>
        <v>22235.645595592745</v>
      </c>
      <c r="N8" s="19">
        <f>SUM(B8:M8)</f>
        <v>266827.74714711291</v>
      </c>
      <c r="O8" s="19">
        <f>N8</f>
        <v>266827.74714711291</v>
      </c>
      <c r="P8" s="19">
        <f>AVERAGE(Q8:S8)</f>
        <v>377519.66666666669</v>
      </c>
      <c r="Q8" s="19">
        <f>CVRIS!F22</f>
        <v>163091</v>
      </c>
      <c r="R8" s="19">
        <v>143759</v>
      </c>
      <c r="S8" s="19">
        <v>825709</v>
      </c>
      <c r="T8" s="19">
        <v>1E-4</v>
      </c>
      <c r="U8" s="16">
        <f>AVERAGE(W8:Y8)</f>
        <v>2.5510219594081112</v>
      </c>
      <c r="V8" s="16">
        <f>IFERROR(Q8/$Q$4,0)</f>
        <v>8.9242437093195362E-2</v>
      </c>
      <c r="W8" s="16">
        <f>IFERROR(R8/$R$4,0)</f>
        <v>0.13760186686524764</v>
      </c>
      <c r="X8" s="16">
        <f>IFERROR(S8/$S$4,0)</f>
        <v>7.5154640113590858</v>
      </c>
      <c r="Y8" s="16">
        <f>IFERROR(T8/$T$4,0)</f>
        <v>0</v>
      </c>
    </row>
    <row r="9" spans="1:26">
      <c r="A9" s="3" t="s">
        <v>340</v>
      </c>
      <c r="B9" s="326">
        <f>'Labor Rates-DP'!$M$45/12</f>
        <v>5279.769733673078</v>
      </c>
      <c r="C9" s="326">
        <f>'Labor Rates-DP'!$M$45/12</f>
        <v>5279.769733673078</v>
      </c>
      <c r="D9" s="326">
        <f>'Labor Rates-DP'!$M$45/12</f>
        <v>5279.769733673078</v>
      </c>
      <c r="E9" s="326">
        <f>'Labor Rates-DP'!$M$45/12</f>
        <v>5279.769733673078</v>
      </c>
      <c r="F9" s="326">
        <f>'Labor Rates-DP'!$M$45/12</f>
        <v>5279.769733673078</v>
      </c>
      <c r="G9" s="326">
        <f>'Labor Rates-DP'!$M$45/12</f>
        <v>5279.769733673078</v>
      </c>
      <c r="H9" s="326">
        <f>'Labor Rates-DP'!$M$45/12</f>
        <v>5279.769733673078</v>
      </c>
      <c r="I9" s="326">
        <f>'Labor Rates-DP'!$M$45/12</f>
        <v>5279.769733673078</v>
      </c>
      <c r="J9" s="326">
        <f>'Labor Rates-DP'!$M$45/12</f>
        <v>5279.769733673078</v>
      </c>
      <c r="K9" s="326">
        <f>'Labor Rates-DP'!$M$45/12</f>
        <v>5279.769733673078</v>
      </c>
      <c r="L9" s="326">
        <f>'Labor Rates-DP'!$M$45/12</f>
        <v>5279.769733673078</v>
      </c>
      <c r="M9" s="326">
        <f>'Labor Rates-DP'!$M$45/12</f>
        <v>5279.769733673078</v>
      </c>
      <c r="N9" s="326">
        <f>SUM(B9:M9)</f>
        <v>63357.236804076936</v>
      </c>
      <c r="O9" s="327">
        <f>N9</f>
        <v>63357.236804076936</v>
      </c>
      <c r="P9" s="19">
        <f t="shared" ref="P9:P44" si="0">AVERAGE(Q9:S9)</f>
        <v>52477</v>
      </c>
      <c r="Q9" s="19">
        <f>CVRIS!F23</f>
        <v>145865</v>
      </c>
      <c r="R9" s="19">
        <v>0</v>
      </c>
      <c r="S9" s="19">
        <v>11566</v>
      </c>
      <c r="T9" s="19">
        <v>1E-4</v>
      </c>
      <c r="U9" s="16">
        <f t="shared" ref="U9:U44" si="1">AVERAGE(W9:Y9)</f>
        <v>3.5090593560757756E-2</v>
      </c>
      <c r="V9" s="16">
        <f t="shared" ref="V9:V44" si="2">IFERROR(Q9/$Q$4,0)</f>
        <v>7.9816471090366367E-2</v>
      </c>
      <c r="W9" s="16">
        <f t="shared" ref="W9:W44" si="3">IFERROR(R9/$R$4,0)</f>
        <v>0</v>
      </c>
      <c r="X9" s="16">
        <f t="shared" ref="X9:X44" si="4">IFERROR(S9/$S$4,0)</f>
        <v>0.10527178068227327</v>
      </c>
      <c r="Y9" s="16">
        <f t="shared" ref="Y9:Y44" si="5">IFERROR(T9/$T$4,0)</f>
        <v>0</v>
      </c>
    </row>
    <row r="10" spans="1:26">
      <c r="A10" s="14" t="s">
        <v>175</v>
      </c>
      <c r="B10" s="109">
        <f>+(Labor!$Q$16+Labor!$R$16)/12</f>
        <v>7003.0693643505001</v>
      </c>
      <c r="C10" s="109">
        <f>+(Labor!$Q$16+Labor!$R$16)/12</f>
        <v>7003.0693643505001</v>
      </c>
      <c r="D10" s="109">
        <f>+(Labor!$Q$16+Labor!$R$16)/12</f>
        <v>7003.0693643505001</v>
      </c>
      <c r="E10" s="109">
        <f>+(Labor!$Q$16+Labor!$R$16)/12</f>
        <v>7003.0693643505001</v>
      </c>
      <c r="F10" s="109">
        <f>+(Labor!$Q$16+Labor!$R$16)/12</f>
        <v>7003.0693643505001</v>
      </c>
      <c r="G10" s="109">
        <f>+(Labor!$Q$16+Labor!$R$16)/12</f>
        <v>7003.0693643505001</v>
      </c>
      <c r="H10" s="109">
        <f>+(Labor!$Q$16+Labor!$R$16)/12</f>
        <v>7003.0693643505001</v>
      </c>
      <c r="I10" s="109">
        <f>+(Labor!$Q$16+Labor!$R$16)/12</f>
        <v>7003.0693643505001</v>
      </c>
      <c r="J10" s="109">
        <f>+(Labor!$Q$16+Labor!$R$16)/12</f>
        <v>7003.0693643505001</v>
      </c>
      <c r="K10" s="109">
        <f>+(Labor!$Q$16+Labor!$R$16)/12</f>
        <v>7003.0693643505001</v>
      </c>
      <c r="L10" s="109">
        <f>+(Labor!$Q$16+Labor!$R$16)/12</f>
        <v>7003.0693643505001</v>
      </c>
      <c r="M10" s="109">
        <f>+(Labor!$Q$16+Labor!$R$16)/12</f>
        <v>7003.0693643505001</v>
      </c>
      <c r="N10" s="19">
        <f>SUM(B10:M10)</f>
        <v>84036.832372206001</v>
      </c>
      <c r="O10" s="333">
        <f>N10</f>
        <v>84036.832372206001</v>
      </c>
      <c r="P10" s="19">
        <f t="shared" si="0"/>
        <v>71562.666666666672</v>
      </c>
      <c r="Q10" s="19">
        <f>CVRIS!F24</f>
        <v>90211</v>
      </c>
      <c r="R10" s="109">
        <v>62045</v>
      </c>
      <c r="S10" s="109">
        <v>62432</v>
      </c>
      <c r="T10" s="19">
        <v>1E-4</v>
      </c>
      <c r="U10" s="16">
        <f t="shared" si="1"/>
        <v>0.20921105721103531</v>
      </c>
      <c r="V10" s="16">
        <f t="shared" si="2"/>
        <v>4.9362929239591687E-2</v>
      </c>
      <c r="W10" s="16">
        <f t="shared" si="3"/>
        <v>5.9387640632268514E-2</v>
      </c>
      <c r="X10" s="16">
        <f t="shared" si="4"/>
        <v>0.56824553100083741</v>
      </c>
      <c r="Y10" s="16">
        <f t="shared" si="5"/>
        <v>0</v>
      </c>
    </row>
    <row r="11" spans="1:26">
      <c r="A11" s="14" t="s">
        <v>113</v>
      </c>
      <c r="B11" s="109">
        <f>+Labor!$O$16/12</f>
        <v>37.378210000000003</v>
      </c>
      <c r="C11" s="109">
        <f>+Labor!$O$16/12</f>
        <v>37.378210000000003</v>
      </c>
      <c r="D11" s="109">
        <f>+Labor!$O$16/12</f>
        <v>37.378210000000003</v>
      </c>
      <c r="E11" s="109">
        <f>+Labor!$O$16/12</f>
        <v>37.378210000000003</v>
      </c>
      <c r="F11" s="109">
        <f>+Labor!$O$16/12</f>
        <v>37.378210000000003</v>
      </c>
      <c r="G11" s="109">
        <f>+Labor!$O$16/12</f>
        <v>37.378210000000003</v>
      </c>
      <c r="H11" s="109">
        <f>+Labor!$O$16/12</f>
        <v>37.378210000000003</v>
      </c>
      <c r="I11" s="109">
        <f>+Labor!$O$16/12</f>
        <v>37.378210000000003</v>
      </c>
      <c r="J11" s="109">
        <f>+Labor!$O$16/12</f>
        <v>37.378210000000003</v>
      </c>
      <c r="K11" s="109">
        <f>+Labor!$O$16/12</f>
        <v>37.378210000000003</v>
      </c>
      <c r="L11" s="109">
        <f>+Labor!$O$16/12</f>
        <v>37.378210000000003</v>
      </c>
      <c r="M11" s="109">
        <f>+Labor!$O$16/12</f>
        <v>37.378210000000003</v>
      </c>
      <c r="N11" s="19">
        <f>SUM(B11:M11)</f>
        <v>448.53852000000012</v>
      </c>
      <c r="O11" s="333">
        <f t="shared" ref="O11" si="6">N11</f>
        <v>448.53852000000012</v>
      </c>
      <c r="P11" s="19">
        <f t="shared" si="0"/>
        <v>523</v>
      </c>
      <c r="Q11" s="19">
        <f>CVRIS!F25</f>
        <v>646</v>
      </c>
      <c r="R11" s="109">
        <v>503</v>
      </c>
      <c r="S11" s="109">
        <v>420</v>
      </c>
      <c r="T11" s="19">
        <v>1E-4</v>
      </c>
      <c r="U11" s="16">
        <f t="shared" si="1"/>
        <v>1.4347419593346619E-3</v>
      </c>
      <c r="V11" s="16">
        <f t="shared" si="2"/>
        <v>3.5348740495922038E-4</v>
      </c>
      <c r="W11" s="16">
        <f t="shared" si="3"/>
        <v>4.8145673685278528E-4</v>
      </c>
      <c r="X11" s="16">
        <f t="shared" si="4"/>
        <v>3.8227691411511998E-3</v>
      </c>
      <c r="Y11" s="16">
        <f t="shared" si="5"/>
        <v>0</v>
      </c>
    </row>
    <row r="12" spans="1:26">
      <c r="A12" s="3" t="s">
        <v>341</v>
      </c>
      <c r="B12" s="109">
        <f>+Labor!$P$16/12</f>
        <v>208.70194499999999</v>
      </c>
      <c r="C12" s="109">
        <f>+Labor!$P$16/12</f>
        <v>208.70194499999999</v>
      </c>
      <c r="D12" s="109">
        <f>+Labor!$P$16/12</f>
        <v>208.70194499999999</v>
      </c>
      <c r="E12" s="109">
        <f>+Labor!$P$16/12</f>
        <v>208.70194499999999</v>
      </c>
      <c r="F12" s="109">
        <f>+Labor!$P$16/12</f>
        <v>208.70194499999999</v>
      </c>
      <c r="G12" s="109">
        <f>+Labor!$P$16/12</f>
        <v>208.70194499999999</v>
      </c>
      <c r="H12" s="109">
        <f>+Labor!$P$16/12</f>
        <v>208.70194499999999</v>
      </c>
      <c r="I12" s="109">
        <f>+Labor!$P$16/12</f>
        <v>208.70194499999999</v>
      </c>
      <c r="J12" s="109">
        <f>+Labor!$P$16/12</f>
        <v>208.70194499999999</v>
      </c>
      <c r="K12" s="109">
        <f>+Labor!$P$16/12</f>
        <v>208.70194499999999</v>
      </c>
      <c r="L12" s="109">
        <f>+Labor!$P$16/12</f>
        <v>208.70194499999999</v>
      </c>
      <c r="M12" s="109">
        <f>+Labor!$P$16/12</f>
        <v>208.70194499999999</v>
      </c>
      <c r="N12" s="19">
        <f t="shared" ref="N12:N17" si="7">SUM(B12:M12)</f>
        <v>2504.4233399999994</v>
      </c>
      <c r="O12" s="333">
        <f>N12</f>
        <v>2504.4233399999994</v>
      </c>
      <c r="P12" s="19">
        <f t="shared" si="0"/>
        <v>3292</v>
      </c>
      <c r="Q12" s="19">
        <f>CVRIS!F26</f>
        <v>2636</v>
      </c>
      <c r="R12" s="19">
        <v>4099</v>
      </c>
      <c r="S12" s="19">
        <v>3141</v>
      </c>
      <c r="T12" s="19">
        <v>1E-4</v>
      </c>
      <c r="U12" s="16">
        <f t="shared" si="1"/>
        <v>1.083743125189505E-2</v>
      </c>
      <c r="V12" s="16">
        <f t="shared" si="2"/>
        <v>1.4424037143537227E-3</v>
      </c>
      <c r="W12" s="16">
        <f t="shared" si="3"/>
        <v>3.9234416786472501E-3</v>
      </c>
      <c r="X12" s="16">
        <f t="shared" si="4"/>
        <v>2.8588852077037898E-2</v>
      </c>
      <c r="Y12" s="16">
        <f t="shared" si="5"/>
        <v>0</v>
      </c>
    </row>
    <row r="13" spans="1:26">
      <c r="A13" s="3" t="s">
        <v>342</v>
      </c>
      <c r="B13" s="191">
        <f>$O13/12</f>
        <v>0</v>
      </c>
      <c r="C13" s="191">
        <f t="shared" ref="C13:M13" si="8">$O13/12</f>
        <v>0</v>
      </c>
      <c r="D13" s="191">
        <f t="shared" si="8"/>
        <v>0</v>
      </c>
      <c r="E13" s="191">
        <f t="shared" si="8"/>
        <v>0</v>
      </c>
      <c r="F13" s="191">
        <f t="shared" si="8"/>
        <v>0</v>
      </c>
      <c r="G13" s="191">
        <f t="shared" si="8"/>
        <v>0</v>
      </c>
      <c r="H13" s="191">
        <f t="shared" si="8"/>
        <v>0</v>
      </c>
      <c r="I13" s="191">
        <f t="shared" si="8"/>
        <v>0</v>
      </c>
      <c r="J13" s="191">
        <f t="shared" si="8"/>
        <v>0</v>
      </c>
      <c r="K13" s="191">
        <f t="shared" si="8"/>
        <v>0</v>
      </c>
      <c r="L13" s="191">
        <f t="shared" si="8"/>
        <v>0</v>
      </c>
      <c r="M13" s="191">
        <f t="shared" si="8"/>
        <v>0</v>
      </c>
      <c r="N13" s="19">
        <f t="shared" si="7"/>
        <v>0</v>
      </c>
      <c r="O13" s="19">
        <v>0</v>
      </c>
      <c r="P13" s="19">
        <f t="shared" si="0"/>
        <v>78.333333333333329</v>
      </c>
      <c r="Q13" s="19">
        <f>CVRIS!F27</f>
        <v>186</v>
      </c>
      <c r="R13" s="19">
        <v>49</v>
      </c>
      <c r="S13" s="19">
        <v>0</v>
      </c>
      <c r="T13" s="19">
        <v>1E-4</v>
      </c>
      <c r="U13" s="16">
        <f t="shared" si="1"/>
        <v>1.5633784032993027E-5</v>
      </c>
      <c r="V13" s="16">
        <f t="shared" si="2"/>
        <v>1.0177810731023992E-4</v>
      </c>
      <c r="W13" s="16">
        <f t="shared" si="3"/>
        <v>4.690135209897908E-5</v>
      </c>
      <c r="X13" s="16">
        <f t="shared" si="4"/>
        <v>0</v>
      </c>
      <c r="Y13" s="16">
        <f t="shared" si="5"/>
        <v>0</v>
      </c>
    </row>
    <row r="14" spans="1:26">
      <c r="A14" s="3" t="s">
        <v>335</v>
      </c>
      <c r="B14" s="191">
        <f>$O14/12</f>
        <v>19.027777777777779</v>
      </c>
      <c r="C14" s="191">
        <f t="shared" ref="C14:M14" si="9">$O14/12</f>
        <v>19.027777777777779</v>
      </c>
      <c r="D14" s="191">
        <f t="shared" si="9"/>
        <v>19.027777777777779</v>
      </c>
      <c r="E14" s="191">
        <f t="shared" si="9"/>
        <v>19.027777777777779</v>
      </c>
      <c r="F14" s="191">
        <f t="shared" si="9"/>
        <v>19.027777777777779</v>
      </c>
      <c r="G14" s="191">
        <f t="shared" si="9"/>
        <v>19.027777777777779</v>
      </c>
      <c r="H14" s="191">
        <f t="shared" si="9"/>
        <v>19.027777777777779</v>
      </c>
      <c r="I14" s="191">
        <f t="shared" si="9"/>
        <v>19.027777777777779</v>
      </c>
      <c r="J14" s="191">
        <f t="shared" si="9"/>
        <v>19.027777777777779</v>
      </c>
      <c r="K14" s="191">
        <f t="shared" si="9"/>
        <v>19.027777777777779</v>
      </c>
      <c r="L14" s="191">
        <f t="shared" si="9"/>
        <v>19.027777777777779</v>
      </c>
      <c r="M14" s="191">
        <f t="shared" si="9"/>
        <v>19.027777777777779</v>
      </c>
      <c r="N14" s="19">
        <f t="shared" ref="N14" si="10">SUM(B14:M14)</f>
        <v>228.33333333333329</v>
      </c>
      <c r="O14" s="19">
        <f>P14</f>
        <v>228.33333333333334</v>
      </c>
      <c r="P14" s="19">
        <f t="shared" si="0"/>
        <v>228.33333333333334</v>
      </c>
      <c r="Q14" s="19">
        <f>CVRIS!F28</f>
        <v>397</v>
      </c>
      <c r="R14" s="19">
        <v>92</v>
      </c>
      <c r="S14" s="19">
        <v>196</v>
      </c>
      <c r="T14" s="19">
        <v>1E-4</v>
      </c>
      <c r="U14" s="16">
        <f t="shared" si="1"/>
        <v>6.2400620467639571E-4</v>
      </c>
      <c r="V14" s="16">
        <f t="shared" si="2"/>
        <v>2.1723606775357659E-4</v>
      </c>
      <c r="W14" s="16">
        <f t="shared" si="3"/>
        <v>8.8059681491960728E-5</v>
      </c>
      <c r="X14" s="16">
        <f t="shared" si="4"/>
        <v>1.7839589325372265E-3</v>
      </c>
      <c r="Y14" s="16">
        <f t="shared" si="5"/>
        <v>0</v>
      </c>
    </row>
    <row r="15" spans="1:26">
      <c r="A15" s="3" t="s">
        <v>334</v>
      </c>
      <c r="B15" s="191">
        <f>$O15/12</f>
        <v>20.194444444444446</v>
      </c>
      <c r="C15" s="191">
        <f t="shared" ref="C15:M15" si="11">$O15/12</f>
        <v>20.194444444444446</v>
      </c>
      <c r="D15" s="191">
        <f t="shared" si="11"/>
        <v>20.194444444444446</v>
      </c>
      <c r="E15" s="191">
        <f t="shared" si="11"/>
        <v>20.194444444444446</v>
      </c>
      <c r="F15" s="191">
        <f t="shared" si="11"/>
        <v>20.194444444444446</v>
      </c>
      <c r="G15" s="191">
        <f t="shared" si="11"/>
        <v>20.194444444444446</v>
      </c>
      <c r="H15" s="191">
        <f t="shared" si="11"/>
        <v>20.194444444444446</v>
      </c>
      <c r="I15" s="191">
        <f t="shared" si="11"/>
        <v>20.194444444444446</v>
      </c>
      <c r="J15" s="191">
        <f t="shared" si="11"/>
        <v>20.194444444444446</v>
      </c>
      <c r="K15" s="191">
        <f t="shared" si="11"/>
        <v>20.194444444444446</v>
      </c>
      <c r="L15" s="191">
        <f t="shared" si="11"/>
        <v>20.194444444444446</v>
      </c>
      <c r="M15" s="191">
        <f t="shared" si="11"/>
        <v>20.194444444444446</v>
      </c>
      <c r="N15" s="19">
        <f t="shared" si="7"/>
        <v>242.3333333333334</v>
      </c>
      <c r="O15" s="19">
        <f>P15</f>
        <v>242.33333333333334</v>
      </c>
      <c r="P15" s="19">
        <f t="shared" si="0"/>
        <v>242.33333333333334</v>
      </c>
      <c r="Q15" s="19">
        <f>CVRIS!F29</f>
        <v>330</v>
      </c>
      <c r="R15" s="19">
        <v>267</v>
      </c>
      <c r="S15" s="19">
        <v>130</v>
      </c>
      <c r="T15" s="19">
        <v>1E-4</v>
      </c>
      <c r="U15" s="16">
        <f t="shared" si="1"/>
        <v>4.7960085930535561E-4</v>
      </c>
      <c r="V15" s="16">
        <f t="shared" si="2"/>
        <v>1.8057406135687728E-4</v>
      </c>
      <c r="W15" s="16">
        <f t="shared" si="3"/>
        <v>2.5556451041688601E-4</v>
      </c>
      <c r="X15" s="16">
        <f t="shared" si="4"/>
        <v>1.1832380674991808E-3</v>
      </c>
      <c r="Y15" s="16">
        <f t="shared" si="5"/>
        <v>0</v>
      </c>
    </row>
    <row r="16" spans="1:26">
      <c r="A16" s="3" t="s">
        <v>16</v>
      </c>
      <c r="B16" s="191">
        <f>$O16/12</f>
        <v>183.33333333333334</v>
      </c>
      <c r="C16" s="191">
        <f t="shared" ref="C16:M16" si="12">$O16/12</f>
        <v>183.33333333333334</v>
      </c>
      <c r="D16" s="191">
        <f t="shared" si="12"/>
        <v>183.33333333333334</v>
      </c>
      <c r="E16" s="191">
        <f t="shared" si="12"/>
        <v>183.33333333333334</v>
      </c>
      <c r="F16" s="191">
        <f t="shared" si="12"/>
        <v>183.33333333333334</v>
      </c>
      <c r="G16" s="191">
        <f t="shared" si="12"/>
        <v>183.33333333333334</v>
      </c>
      <c r="H16" s="191">
        <f t="shared" si="12"/>
        <v>183.33333333333334</v>
      </c>
      <c r="I16" s="191">
        <f t="shared" si="12"/>
        <v>183.33333333333334</v>
      </c>
      <c r="J16" s="191">
        <f t="shared" si="12"/>
        <v>183.33333333333334</v>
      </c>
      <c r="K16" s="191">
        <f t="shared" si="12"/>
        <v>183.33333333333334</v>
      </c>
      <c r="L16" s="191">
        <f t="shared" si="12"/>
        <v>183.33333333333334</v>
      </c>
      <c r="M16" s="191">
        <f t="shared" si="12"/>
        <v>183.33333333333334</v>
      </c>
      <c r="N16" s="191">
        <f t="shared" ref="N16" si="13">SUM(B16:M16)</f>
        <v>2199.9999999999995</v>
      </c>
      <c r="O16" s="258">
        <f>+'Labor Rates-DP'!N19</f>
        <v>2200</v>
      </c>
      <c r="P16" s="19">
        <f t="shared" si="0"/>
        <v>4249</v>
      </c>
      <c r="Q16" s="19">
        <f>CVRIS!F30</f>
        <v>606</v>
      </c>
      <c r="R16" s="19">
        <v>9790</v>
      </c>
      <c r="S16" s="19">
        <v>2351</v>
      </c>
      <c r="T16" s="19">
        <v>1E-4</v>
      </c>
      <c r="U16" s="16">
        <f t="shared" si="1"/>
        <v>1.0256368024814694E-2</v>
      </c>
      <c r="V16" s="16">
        <f t="shared" si="2"/>
        <v>3.3159963994626554E-4</v>
      </c>
      <c r="W16" s="16">
        <f t="shared" si="3"/>
        <v>9.3706987152858204E-3</v>
      </c>
      <c r="X16" s="16">
        <f t="shared" si="4"/>
        <v>2.1398405359158261E-2</v>
      </c>
      <c r="Y16" s="16">
        <f t="shared" si="5"/>
        <v>0</v>
      </c>
    </row>
    <row r="17" spans="1:25">
      <c r="A17" s="3" t="s">
        <v>15</v>
      </c>
      <c r="B17" s="19">
        <f>$O$17/12</f>
        <v>47.5</v>
      </c>
      <c r="C17" s="19">
        <f t="shared" ref="C17:M17" si="14">$O$17/12</f>
        <v>47.5</v>
      </c>
      <c r="D17" s="19">
        <f t="shared" si="14"/>
        <v>47.5</v>
      </c>
      <c r="E17" s="19">
        <f t="shared" si="14"/>
        <v>47.5</v>
      </c>
      <c r="F17" s="19">
        <f t="shared" si="14"/>
        <v>47.5</v>
      </c>
      <c r="G17" s="19">
        <f t="shared" si="14"/>
        <v>47.5</v>
      </c>
      <c r="H17" s="19">
        <f t="shared" si="14"/>
        <v>47.5</v>
      </c>
      <c r="I17" s="19">
        <f t="shared" si="14"/>
        <v>47.5</v>
      </c>
      <c r="J17" s="19">
        <f t="shared" si="14"/>
        <v>47.5</v>
      </c>
      <c r="K17" s="19">
        <f t="shared" si="14"/>
        <v>47.5</v>
      </c>
      <c r="L17" s="19">
        <f t="shared" si="14"/>
        <v>47.5</v>
      </c>
      <c r="M17" s="19">
        <f t="shared" si="14"/>
        <v>47.5</v>
      </c>
      <c r="N17" s="19">
        <f t="shared" si="7"/>
        <v>570</v>
      </c>
      <c r="O17" s="19">
        <f>P17</f>
        <v>570</v>
      </c>
      <c r="P17" s="19">
        <f t="shared" si="0"/>
        <v>570</v>
      </c>
      <c r="Q17" s="19">
        <f>CVRIS!F31</f>
        <v>830</v>
      </c>
      <c r="R17" s="19">
        <v>546</v>
      </c>
      <c r="S17" s="19">
        <v>334</v>
      </c>
      <c r="T17" s="19">
        <v>1E-4</v>
      </c>
      <c r="U17" s="16">
        <f t="shared" si="1"/>
        <v>1.187542238863272E-3</v>
      </c>
      <c r="V17" s="16">
        <f t="shared" si="2"/>
        <v>4.5417112401881254E-4</v>
      </c>
      <c r="W17" s="16">
        <f t="shared" si="3"/>
        <v>5.2261506624576694E-4</v>
      </c>
      <c r="X17" s="16">
        <f t="shared" si="4"/>
        <v>3.040011650344049E-3</v>
      </c>
      <c r="Y17" s="16">
        <f t="shared" si="5"/>
        <v>0</v>
      </c>
    </row>
    <row r="18" spans="1:25">
      <c r="A18" s="3" t="s">
        <v>17</v>
      </c>
      <c r="B18" s="19">
        <f>$O$18/12</f>
        <v>70.166666666666671</v>
      </c>
      <c r="C18" s="19">
        <f t="shared" ref="C18:M18" si="15">$O$18/12</f>
        <v>70.166666666666671</v>
      </c>
      <c r="D18" s="19">
        <f t="shared" si="15"/>
        <v>70.166666666666671</v>
      </c>
      <c r="E18" s="19">
        <f t="shared" si="15"/>
        <v>70.166666666666671</v>
      </c>
      <c r="F18" s="19">
        <f t="shared" si="15"/>
        <v>70.166666666666671</v>
      </c>
      <c r="G18" s="19">
        <f t="shared" si="15"/>
        <v>70.166666666666671</v>
      </c>
      <c r="H18" s="19">
        <f t="shared" si="15"/>
        <v>70.166666666666671</v>
      </c>
      <c r="I18" s="19">
        <f t="shared" si="15"/>
        <v>70.166666666666671</v>
      </c>
      <c r="J18" s="19">
        <f t="shared" si="15"/>
        <v>70.166666666666671</v>
      </c>
      <c r="K18" s="19">
        <f t="shared" si="15"/>
        <v>70.166666666666671</v>
      </c>
      <c r="L18" s="19">
        <f t="shared" si="15"/>
        <v>70.166666666666671</v>
      </c>
      <c r="M18" s="19">
        <f t="shared" si="15"/>
        <v>70.166666666666671</v>
      </c>
      <c r="N18" s="191">
        <f t="shared" ref="N18:N20" si="16">SUM(B18:M18)</f>
        <v>841.99999999999989</v>
      </c>
      <c r="O18" s="19">
        <f>P18</f>
        <v>842</v>
      </c>
      <c r="P18" s="19">
        <f t="shared" si="0"/>
        <v>842</v>
      </c>
      <c r="Q18" s="19">
        <f>CVRIS!F32</f>
        <v>99</v>
      </c>
      <c r="R18" s="19">
        <v>80</v>
      </c>
      <c r="S18" s="19">
        <v>2347</v>
      </c>
      <c r="T18" s="19">
        <v>1E-4</v>
      </c>
      <c r="U18" s="16">
        <f t="shared" si="1"/>
        <v>7.1461905566948024E-3</v>
      </c>
      <c r="V18" s="16">
        <f t="shared" si="2"/>
        <v>5.4172218407063183E-5</v>
      </c>
      <c r="W18" s="16">
        <f t="shared" si="3"/>
        <v>7.6573636079965853E-5</v>
      </c>
      <c r="X18" s="16">
        <f t="shared" si="4"/>
        <v>2.1361998034004442E-2</v>
      </c>
      <c r="Y18" s="16">
        <f t="shared" si="5"/>
        <v>0</v>
      </c>
    </row>
    <row r="19" spans="1:25">
      <c r="A19" s="3" t="s">
        <v>14</v>
      </c>
      <c r="B19" s="326">
        <f>$O19/12</f>
        <v>5000</v>
      </c>
      <c r="C19" s="326">
        <f t="shared" ref="C19:M19" si="17">$O19/12</f>
        <v>5000</v>
      </c>
      <c r="D19" s="326">
        <f t="shared" si="17"/>
        <v>5000</v>
      </c>
      <c r="E19" s="326">
        <f t="shared" si="17"/>
        <v>5000</v>
      </c>
      <c r="F19" s="326">
        <f t="shared" si="17"/>
        <v>5000</v>
      </c>
      <c r="G19" s="326">
        <f t="shared" si="17"/>
        <v>5000</v>
      </c>
      <c r="H19" s="326">
        <f t="shared" si="17"/>
        <v>5000</v>
      </c>
      <c r="I19" s="326">
        <f t="shared" si="17"/>
        <v>5000</v>
      </c>
      <c r="J19" s="326">
        <f t="shared" si="17"/>
        <v>5000</v>
      </c>
      <c r="K19" s="326">
        <f t="shared" si="17"/>
        <v>5000</v>
      </c>
      <c r="L19" s="326">
        <f t="shared" si="17"/>
        <v>5000</v>
      </c>
      <c r="M19" s="326">
        <f t="shared" si="17"/>
        <v>5000</v>
      </c>
      <c r="N19" s="326">
        <f t="shared" si="16"/>
        <v>60000</v>
      </c>
      <c r="O19" s="346">
        <f>'Labor Rates-DP'!P21</f>
        <v>60000</v>
      </c>
      <c r="P19" s="327">
        <f t="shared" si="0"/>
        <v>35817</v>
      </c>
      <c r="Q19" s="19">
        <f>CVRIS!F33</f>
        <v>35810</v>
      </c>
      <c r="R19" s="19">
        <v>34640</v>
      </c>
      <c r="S19" s="19">
        <v>37001</v>
      </c>
      <c r="T19" s="19">
        <v>1E-4</v>
      </c>
      <c r="U19" s="16">
        <f t="shared" si="1"/>
        <v>0.12331108130891914</v>
      </c>
      <c r="V19" s="16">
        <f t="shared" si="2"/>
        <v>1.9595021627847802E-2</v>
      </c>
      <c r="W19" s="16">
        <f t="shared" si="3"/>
        <v>3.315638442262521E-2</v>
      </c>
      <c r="X19" s="16">
        <f t="shared" si="4"/>
        <v>0.33677685950413222</v>
      </c>
      <c r="Y19" s="16">
        <f t="shared" si="5"/>
        <v>0</v>
      </c>
    </row>
    <row r="20" spans="1:25">
      <c r="A20" s="3" t="s">
        <v>336</v>
      </c>
      <c r="B20" s="109">
        <f>+Labor!$S$16/12</f>
        <v>924.95710383666676</v>
      </c>
      <c r="C20" s="109">
        <f>+Labor!$S$16/12</f>
        <v>924.95710383666676</v>
      </c>
      <c r="D20" s="109">
        <f>+Labor!$S$16/12</f>
        <v>924.95710383666676</v>
      </c>
      <c r="E20" s="109">
        <f>+Labor!$S$16/12</f>
        <v>924.95710383666676</v>
      </c>
      <c r="F20" s="109">
        <f>+Labor!$S$16/12</f>
        <v>924.95710383666676</v>
      </c>
      <c r="G20" s="109">
        <f>+Labor!$S$16/12</f>
        <v>924.95710383666676</v>
      </c>
      <c r="H20" s="109">
        <f>+Labor!$S$16/12</f>
        <v>924.95710383666676</v>
      </c>
      <c r="I20" s="109">
        <f>+Labor!$S$16/12</f>
        <v>924.95710383666676</v>
      </c>
      <c r="J20" s="109">
        <f>+Labor!$S$16/12</f>
        <v>924.95710383666676</v>
      </c>
      <c r="K20" s="109">
        <f>+Labor!$S$16/12</f>
        <v>924.95710383666676</v>
      </c>
      <c r="L20" s="109">
        <f>+Labor!$S$16/12</f>
        <v>924.95710383666676</v>
      </c>
      <c r="M20" s="109">
        <f>+Labor!$S$16/12</f>
        <v>924.95710383666676</v>
      </c>
      <c r="N20" s="191">
        <f t="shared" si="16"/>
        <v>11099.485246040002</v>
      </c>
      <c r="O20" s="333">
        <f>N20</f>
        <v>11099.485246040002</v>
      </c>
      <c r="P20" s="19">
        <f t="shared" si="0"/>
        <v>11112.666666666666</v>
      </c>
      <c r="Q20" s="19">
        <f>CVRIS!F34</f>
        <v>13308</v>
      </c>
      <c r="R20" s="19">
        <v>9056</v>
      </c>
      <c r="S20" s="19">
        <v>10974</v>
      </c>
      <c r="T20" s="19">
        <v>1E-4</v>
      </c>
      <c r="U20" s="16">
        <f t="shared" si="1"/>
        <v>3.618387738791997E-2</v>
      </c>
      <c r="V20" s="16">
        <f t="shared" si="2"/>
        <v>7.2820594198100691E-3</v>
      </c>
      <c r="W20" s="16">
        <f t="shared" si="3"/>
        <v>8.6681356042521349E-3</v>
      </c>
      <c r="X20" s="16">
        <f t="shared" si="4"/>
        <v>9.9883496559507776E-2</v>
      </c>
      <c r="Y20" s="16">
        <f t="shared" si="5"/>
        <v>0</v>
      </c>
    </row>
    <row r="21" spans="1:25">
      <c r="A21" s="3" t="s">
        <v>97</v>
      </c>
      <c r="B21" s="191">
        <f t="shared" ref="B21:B27" si="18">$O21/12</f>
        <v>401.97222222222223</v>
      </c>
      <c r="C21" s="191">
        <f t="shared" ref="C21:M22" si="19">$O21/12</f>
        <v>401.97222222222223</v>
      </c>
      <c r="D21" s="191">
        <f t="shared" si="19"/>
        <v>401.97222222222223</v>
      </c>
      <c r="E21" s="191">
        <f t="shared" si="19"/>
        <v>401.97222222222223</v>
      </c>
      <c r="F21" s="191">
        <f t="shared" si="19"/>
        <v>401.97222222222223</v>
      </c>
      <c r="G21" s="191">
        <f t="shared" si="19"/>
        <v>401.97222222222223</v>
      </c>
      <c r="H21" s="191">
        <f t="shared" si="19"/>
        <v>401.97222222222223</v>
      </c>
      <c r="I21" s="191">
        <f t="shared" si="19"/>
        <v>401.97222222222223</v>
      </c>
      <c r="J21" s="191">
        <f t="shared" si="19"/>
        <v>401.97222222222223</v>
      </c>
      <c r="K21" s="191">
        <f t="shared" si="19"/>
        <v>401.97222222222223</v>
      </c>
      <c r="L21" s="191">
        <f t="shared" si="19"/>
        <v>401.97222222222223</v>
      </c>
      <c r="M21" s="191">
        <f t="shared" si="19"/>
        <v>401.97222222222223</v>
      </c>
      <c r="N21" s="191">
        <f>SUM(B21:M21)</f>
        <v>4823.666666666667</v>
      </c>
      <c r="O21" s="19">
        <f>P21</f>
        <v>4823.666666666667</v>
      </c>
      <c r="P21" s="19">
        <f t="shared" si="0"/>
        <v>4823.666666666667</v>
      </c>
      <c r="Q21" s="19">
        <f>CVRIS!F35</f>
        <v>4284</v>
      </c>
      <c r="R21" s="19">
        <v>3655</v>
      </c>
      <c r="S21" s="19">
        <v>6532</v>
      </c>
      <c r="T21" s="19">
        <v>1E-4</v>
      </c>
      <c r="U21" s="16">
        <f t="shared" si="1"/>
        <v>2.0983873324864354E-2</v>
      </c>
      <c r="V21" s="16">
        <f t="shared" si="2"/>
        <v>2.3441796328874612E-3</v>
      </c>
      <c r="W21" s="16">
        <f t="shared" si="3"/>
        <v>3.4984579984034397E-3</v>
      </c>
      <c r="X21" s="16">
        <f t="shared" si="4"/>
        <v>5.9453161976189613E-2</v>
      </c>
      <c r="Y21" s="16">
        <f t="shared" si="5"/>
        <v>0</v>
      </c>
    </row>
    <row r="22" spans="1:25">
      <c r="A22" s="3" t="s">
        <v>98</v>
      </c>
      <c r="B22" s="191">
        <f t="shared" si="18"/>
        <v>112.5</v>
      </c>
      <c r="C22" s="191">
        <f t="shared" si="19"/>
        <v>112.5</v>
      </c>
      <c r="D22" s="191">
        <f t="shared" si="19"/>
        <v>112.5</v>
      </c>
      <c r="E22" s="191">
        <f t="shared" si="19"/>
        <v>112.5</v>
      </c>
      <c r="F22" s="191">
        <f t="shared" si="19"/>
        <v>112.5</v>
      </c>
      <c r="G22" s="191">
        <f t="shared" si="19"/>
        <v>112.5</v>
      </c>
      <c r="H22" s="191">
        <f t="shared" si="19"/>
        <v>112.5</v>
      </c>
      <c r="I22" s="191">
        <f t="shared" si="19"/>
        <v>112.5</v>
      </c>
      <c r="J22" s="191">
        <f t="shared" si="19"/>
        <v>112.5</v>
      </c>
      <c r="K22" s="191">
        <f t="shared" si="19"/>
        <v>112.5</v>
      </c>
      <c r="L22" s="191">
        <f t="shared" si="19"/>
        <v>112.5</v>
      </c>
      <c r="M22" s="191">
        <f t="shared" si="19"/>
        <v>112.5</v>
      </c>
      <c r="N22" s="191">
        <f t="shared" ref="N22:N39" si="20">SUM(B22:M22)</f>
        <v>1350</v>
      </c>
      <c r="O22" s="19">
        <f>P22</f>
        <v>1350</v>
      </c>
      <c r="P22" s="19">
        <f t="shared" si="0"/>
        <v>1350</v>
      </c>
      <c r="Q22" s="19">
        <f>CVRIS!F36</f>
        <v>1396</v>
      </c>
      <c r="R22" s="19">
        <v>1150</v>
      </c>
      <c r="S22" s="19">
        <v>1504</v>
      </c>
      <c r="T22" s="19">
        <v>1E-4</v>
      </c>
      <c r="U22" s="16">
        <f t="shared" si="1"/>
        <v>4.9299667588287282E-3</v>
      </c>
      <c r="V22" s="16">
        <f t="shared" si="2"/>
        <v>7.6388299895212329E-4</v>
      </c>
      <c r="W22" s="16">
        <f t="shared" si="3"/>
        <v>1.1007460186495091E-3</v>
      </c>
      <c r="X22" s="16">
        <f t="shared" si="4"/>
        <v>1.3689154257836676E-2</v>
      </c>
      <c r="Y22" s="16">
        <f t="shared" si="5"/>
        <v>0</v>
      </c>
    </row>
    <row r="23" spans="1:25">
      <c r="A23" s="3" t="s">
        <v>337</v>
      </c>
      <c r="B23" s="191">
        <f t="shared" si="18"/>
        <v>1150</v>
      </c>
      <c r="C23" s="191">
        <f t="shared" ref="C23:M25" si="21">$O23/12</f>
        <v>1150</v>
      </c>
      <c r="D23" s="191">
        <f t="shared" si="21"/>
        <v>1150</v>
      </c>
      <c r="E23" s="191">
        <f t="shared" si="21"/>
        <v>1150</v>
      </c>
      <c r="F23" s="191">
        <f t="shared" si="21"/>
        <v>1150</v>
      </c>
      <c r="G23" s="191">
        <f t="shared" si="21"/>
        <v>1150</v>
      </c>
      <c r="H23" s="191">
        <f t="shared" si="21"/>
        <v>1150</v>
      </c>
      <c r="I23" s="191">
        <f t="shared" si="21"/>
        <v>1150</v>
      </c>
      <c r="J23" s="191">
        <f t="shared" si="21"/>
        <v>1150</v>
      </c>
      <c r="K23" s="191">
        <f t="shared" si="21"/>
        <v>1150</v>
      </c>
      <c r="L23" s="191">
        <f t="shared" si="21"/>
        <v>1150</v>
      </c>
      <c r="M23" s="191">
        <f t="shared" si="21"/>
        <v>1150</v>
      </c>
      <c r="N23" s="191">
        <f t="shared" si="20"/>
        <v>13800</v>
      </c>
      <c r="O23" s="258">
        <f>+'Labor Rates-DP'!H19</f>
        <v>13800</v>
      </c>
      <c r="P23" s="19">
        <f t="shared" si="0"/>
        <v>7744</v>
      </c>
      <c r="Q23" s="19">
        <f>CVRIS!F37</f>
        <v>10669</v>
      </c>
      <c r="R23" s="19">
        <v>6316</v>
      </c>
      <c r="S23" s="19">
        <v>6247</v>
      </c>
      <c r="T23" s="19">
        <v>1E-4</v>
      </c>
      <c r="U23" s="16">
        <f t="shared" si="1"/>
        <v>2.0968209542497725E-2</v>
      </c>
      <c r="V23" s="16">
        <f t="shared" si="2"/>
        <v>5.8380141230803748E-3</v>
      </c>
      <c r="W23" s="16">
        <f t="shared" si="3"/>
        <v>6.045488568513304E-3</v>
      </c>
      <c r="X23" s="16">
        <f t="shared" si="4"/>
        <v>5.6859140058979865E-2</v>
      </c>
      <c r="Y23" s="16">
        <f t="shared" si="5"/>
        <v>0</v>
      </c>
    </row>
    <row r="24" spans="1:25">
      <c r="A24" s="3" t="s">
        <v>89</v>
      </c>
      <c r="B24" s="191">
        <f t="shared" si="18"/>
        <v>3650</v>
      </c>
      <c r="C24" s="191">
        <f t="shared" si="21"/>
        <v>3650</v>
      </c>
      <c r="D24" s="191">
        <f t="shared" si="21"/>
        <v>3650</v>
      </c>
      <c r="E24" s="191">
        <f t="shared" si="21"/>
        <v>3650</v>
      </c>
      <c r="F24" s="191">
        <f t="shared" si="21"/>
        <v>3650</v>
      </c>
      <c r="G24" s="191">
        <f t="shared" si="21"/>
        <v>3650</v>
      </c>
      <c r="H24" s="191">
        <f t="shared" si="21"/>
        <v>3650</v>
      </c>
      <c r="I24" s="191">
        <f t="shared" si="21"/>
        <v>3650</v>
      </c>
      <c r="J24" s="191">
        <f t="shared" si="21"/>
        <v>3650</v>
      </c>
      <c r="K24" s="191">
        <f t="shared" si="21"/>
        <v>3650</v>
      </c>
      <c r="L24" s="191">
        <f t="shared" si="21"/>
        <v>3650</v>
      </c>
      <c r="M24" s="191">
        <f t="shared" si="21"/>
        <v>3650</v>
      </c>
      <c r="N24" s="19">
        <f t="shared" si="20"/>
        <v>43800</v>
      </c>
      <c r="O24" s="258">
        <f>+'Labor Rates-DP'!L19+'Labor Rates-DP'!K19</f>
        <v>43800</v>
      </c>
      <c r="P24" s="19">
        <f t="shared" si="0"/>
        <v>36679.333333333336</v>
      </c>
      <c r="Q24" s="19">
        <f>CVRIS!F38</f>
        <v>41872</v>
      </c>
      <c r="R24" s="19">
        <v>36369</v>
      </c>
      <c r="S24" s="19">
        <v>31797</v>
      </c>
      <c r="T24" s="19">
        <v>1E-4</v>
      </c>
      <c r="U24" s="16">
        <f t="shared" si="1"/>
        <v>0.10807408720380489</v>
      </c>
      <c r="V24" s="16">
        <f t="shared" si="2"/>
        <v>2.2912112415561108E-2</v>
      </c>
      <c r="W24" s="16">
        <f t="shared" si="3"/>
        <v>3.4811332132403477E-2</v>
      </c>
      <c r="X24" s="16">
        <f t="shared" si="4"/>
        <v>0.2894109294790112</v>
      </c>
      <c r="Y24" s="16">
        <f t="shared" si="5"/>
        <v>0</v>
      </c>
    </row>
    <row r="25" spans="1:25">
      <c r="A25" s="3" t="s">
        <v>338</v>
      </c>
      <c r="B25" s="191">
        <f t="shared" si="18"/>
        <v>268.44444444444446</v>
      </c>
      <c r="C25" s="191">
        <f t="shared" si="21"/>
        <v>268.44444444444446</v>
      </c>
      <c r="D25" s="191">
        <f t="shared" si="21"/>
        <v>268.44444444444446</v>
      </c>
      <c r="E25" s="191">
        <f t="shared" si="21"/>
        <v>268.44444444444446</v>
      </c>
      <c r="F25" s="191">
        <f t="shared" si="21"/>
        <v>268.44444444444446</v>
      </c>
      <c r="G25" s="191">
        <f t="shared" si="21"/>
        <v>268.44444444444446</v>
      </c>
      <c r="H25" s="191">
        <f t="shared" si="21"/>
        <v>268.44444444444446</v>
      </c>
      <c r="I25" s="191">
        <f t="shared" si="21"/>
        <v>268.44444444444446</v>
      </c>
      <c r="J25" s="191">
        <f t="shared" si="21"/>
        <v>268.44444444444446</v>
      </c>
      <c r="K25" s="191">
        <f t="shared" si="21"/>
        <v>268.44444444444446</v>
      </c>
      <c r="L25" s="191">
        <f t="shared" si="21"/>
        <v>268.44444444444446</v>
      </c>
      <c r="M25" s="191">
        <f t="shared" si="21"/>
        <v>268.44444444444446</v>
      </c>
      <c r="N25" s="191">
        <f t="shared" si="20"/>
        <v>3221.3333333333326</v>
      </c>
      <c r="O25" s="19">
        <f>P25</f>
        <v>3221.3333333333335</v>
      </c>
      <c r="P25" s="19">
        <f t="shared" si="0"/>
        <v>3221.3333333333335</v>
      </c>
      <c r="Q25" s="19">
        <f>CVRIS!F39</f>
        <v>5748</v>
      </c>
      <c r="R25" s="19">
        <v>2326</v>
      </c>
      <c r="S25" s="19">
        <v>1590</v>
      </c>
      <c r="T25" s="19">
        <v>1E-4</v>
      </c>
      <c r="U25" s="16">
        <f t="shared" si="1"/>
        <v>5.5660967392229454E-3</v>
      </c>
      <c r="V25" s="16">
        <f t="shared" si="2"/>
        <v>3.1452718323616079E-3</v>
      </c>
      <c r="W25" s="16">
        <f t="shared" si="3"/>
        <v>2.226378469025007E-3</v>
      </c>
      <c r="X25" s="16">
        <f t="shared" si="4"/>
        <v>1.4471911748643828E-2</v>
      </c>
      <c r="Y25" s="16">
        <f t="shared" si="5"/>
        <v>0</v>
      </c>
    </row>
    <row r="26" spans="1:25">
      <c r="A26" s="3" t="s">
        <v>123</v>
      </c>
      <c r="B26" s="326">
        <f t="shared" si="18"/>
        <v>5000</v>
      </c>
      <c r="C26" s="326">
        <f t="shared" ref="C26:M31" si="22">$O26/12</f>
        <v>5000</v>
      </c>
      <c r="D26" s="326">
        <f t="shared" si="22"/>
        <v>5000</v>
      </c>
      <c r="E26" s="326">
        <f t="shared" si="22"/>
        <v>5000</v>
      </c>
      <c r="F26" s="326">
        <f t="shared" si="22"/>
        <v>5000</v>
      </c>
      <c r="G26" s="326">
        <f t="shared" si="22"/>
        <v>5000</v>
      </c>
      <c r="H26" s="326">
        <f t="shared" si="22"/>
        <v>5000</v>
      </c>
      <c r="I26" s="326">
        <f t="shared" si="22"/>
        <v>5000</v>
      </c>
      <c r="J26" s="326">
        <f t="shared" si="22"/>
        <v>5000</v>
      </c>
      <c r="K26" s="326">
        <f t="shared" si="22"/>
        <v>5000</v>
      </c>
      <c r="L26" s="326">
        <f t="shared" si="22"/>
        <v>5000</v>
      </c>
      <c r="M26" s="326">
        <f t="shared" si="22"/>
        <v>5000</v>
      </c>
      <c r="N26" s="326">
        <f t="shared" si="20"/>
        <v>60000</v>
      </c>
      <c r="O26" s="346">
        <v>60000</v>
      </c>
      <c r="P26" s="19">
        <f t="shared" si="0"/>
        <v>68244.666666666672</v>
      </c>
      <c r="Q26" s="19">
        <f>CVRIS!F40</f>
        <v>74594</v>
      </c>
      <c r="R26" s="19">
        <v>84093</v>
      </c>
      <c r="S26" s="19">
        <v>46047</v>
      </c>
      <c r="T26" s="19">
        <v>1E-4</v>
      </c>
      <c r="U26" s="16">
        <f t="shared" si="1"/>
        <v>0.16653445335846848</v>
      </c>
      <c r="V26" s="16">
        <f t="shared" si="2"/>
        <v>4.0817398584408797E-2</v>
      </c>
      <c r="W26" s="16">
        <f t="shared" si="3"/>
        <v>8.0491334735907097E-2</v>
      </c>
      <c r="X26" s="16">
        <f t="shared" si="4"/>
        <v>0.41911202533949832</v>
      </c>
      <c r="Y26" s="16">
        <f t="shared" si="5"/>
        <v>0</v>
      </c>
    </row>
    <row r="27" spans="1:25">
      <c r="A27" s="3" t="s">
        <v>105</v>
      </c>
      <c r="B27" s="326">
        <f t="shared" si="18"/>
        <v>416.66666666666669</v>
      </c>
      <c r="C27" s="326">
        <f t="shared" si="22"/>
        <v>416.66666666666669</v>
      </c>
      <c r="D27" s="326">
        <f t="shared" si="22"/>
        <v>416.66666666666669</v>
      </c>
      <c r="E27" s="326">
        <f t="shared" si="22"/>
        <v>416.66666666666669</v>
      </c>
      <c r="F27" s="326">
        <f t="shared" si="22"/>
        <v>416.66666666666669</v>
      </c>
      <c r="G27" s="326">
        <f t="shared" si="22"/>
        <v>416.66666666666669</v>
      </c>
      <c r="H27" s="326">
        <f t="shared" si="22"/>
        <v>416.66666666666669</v>
      </c>
      <c r="I27" s="326">
        <f t="shared" si="22"/>
        <v>416.66666666666669</v>
      </c>
      <c r="J27" s="326">
        <f t="shared" si="22"/>
        <v>416.66666666666669</v>
      </c>
      <c r="K27" s="326">
        <f t="shared" si="22"/>
        <v>416.66666666666669</v>
      </c>
      <c r="L27" s="326">
        <f t="shared" si="22"/>
        <v>416.66666666666669</v>
      </c>
      <c r="M27" s="326">
        <f t="shared" si="22"/>
        <v>416.66666666666669</v>
      </c>
      <c r="N27" s="326">
        <f t="shared" ref="N27" si="23">SUM(B27:M27)</f>
        <v>5000</v>
      </c>
      <c r="O27" s="346">
        <v>5000</v>
      </c>
      <c r="P27" s="19">
        <f t="shared" si="0"/>
        <v>6427</v>
      </c>
      <c r="Q27" s="19">
        <f>CVRIS!F41</f>
        <v>10033</v>
      </c>
      <c r="R27" s="19">
        <v>6773</v>
      </c>
      <c r="S27" s="19">
        <v>2475</v>
      </c>
      <c r="T27" s="19">
        <v>1E-4</v>
      </c>
      <c r="U27" s="16">
        <f t="shared" si="1"/>
        <v>9.6699826345156073E-3</v>
      </c>
      <c r="V27" s="16">
        <f t="shared" si="2"/>
        <v>5.489998659374393E-3</v>
      </c>
      <c r="W27" s="16">
        <f t="shared" si="3"/>
        <v>6.4829154646201086E-3</v>
      </c>
      <c r="X27" s="16">
        <f t="shared" si="4"/>
        <v>2.2527032438926713E-2</v>
      </c>
      <c r="Y27" s="16">
        <f t="shared" si="5"/>
        <v>0</v>
      </c>
    </row>
    <row r="28" spans="1:25">
      <c r="A28" s="3" t="s">
        <v>106</v>
      </c>
      <c r="B28" s="326">
        <f t="shared" ref="B28:M28" si="24">$O28/12</f>
        <v>2416.6666666666665</v>
      </c>
      <c r="C28" s="326">
        <f t="shared" si="24"/>
        <v>2416.6666666666665</v>
      </c>
      <c r="D28" s="326">
        <f t="shared" si="24"/>
        <v>2416.6666666666665</v>
      </c>
      <c r="E28" s="326">
        <f t="shared" si="24"/>
        <v>2416.6666666666665</v>
      </c>
      <c r="F28" s="326">
        <f t="shared" si="24"/>
        <v>2416.6666666666665</v>
      </c>
      <c r="G28" s="326">
        <f t="shared" si="24"/>
        <v>2416.6666666666665</v>
      </c>
      <c r="H28" s="326">
        <f t="shared" si="24"/>
        <v>2416.6666666666665</v>
      </c>
      <c r="I28" s="326">
        <f t="shared" si="24"/>
        <v>2416.6666666666665</v>
      </c>
      <c r="J28" s="326">
        <f t="shared" si="24"/>
        <v>2416.6666666666665</v>
      </c>
      <c r="K28" s="326">
        <f t="shared" si="24"/>
        <v>2416.6666666666665</v>
      </c>
      <c r="L28" s="326">
        <f t="shared" si="24"/>
        <v>2416.6666666666665</v>
      </c>
      <c r="M28" s="326">
        <f t="shared" si="24"/>
        <v>2416.6666666666665</v>
      </c>
      <c r="N28" s="326">
        <f>SUM(B28:M28)</f>
        <v>29000.000000000004</v>
      </c>
      <c r="O28" s="346">
        <f>+'Labor Rates-DP'!O19-O27-O26-O29</f>
        <v>29000</v>
      </c>
      <c r="P28" s="19">
        <f t="shared" si="0"/>
        <v>34715.666666666664</v>
      </c>
      <c r="Q28" s="19">
        <f>CVRIS!F42</f>
        <v>10821</v>
      </c>
      <c r="R28" s="19">
        <v>17960</v>
      </c>
      <c r="S28" s="19">
        <v>75366</v>
      </c>
      <c r="T28" s="19">
        <v>1E-4</v>
      </c>
      <c r="U28" s="16">
        <f t="shared" si="1"/>
        <v>0.23438646606188993</v>
      </c>
      <c r="V28" s="16">
        <f t="shared" si="2"/>
        <v>5.9211876301296026E-3</v>
      </c>
      <c r="W28" s="16">
        <f t="shared" si="3"/>
        <v>1.7190781299952333E-2</v>
      </c>
      <c r="X28" s="16">
        <f t="shared" si="4"/>
        <v>0.68596861688571742</v>
      </c>
      <c r="Y28" s="16">
        <f t="shared" si="5"/>
        <v>0</v>
      </c>
    </row>
    <row r="29" spans="1:25">
      <c r="A29" s="3" t="s">
        <v>107</v>
      </c>
      <c r="B29" s="326">
        <f>$O29/12</f>
        <v>166.66666666666666</v>
      </c>
      <c r="C29" s="326">
        <f t="shared" si="22"/>
        <v>166.66666666666666</v>
      </c>
      <c r="D29" s="326">
        <f t="shared" si="22"/>
        <v>166.66666666666666</v>
      </c>
      <c r="E29" s="326">
        <f t="shared" si="22"/>
        <v>166.66666666666666</v>
      </c>
      <c r="F29" s="326">
        <f t="shared" si="22"/>
        <v>166.66666666666666</v>
      </c>
      <c r="G29" s="326">
        <f t="shared" si="22"/>
        <v>166.66666666666666</v>
      </c>
      <c r="H29" s="326">
        <f t="shared" si="22"/>
        <v>166.66666666666666</v>
      </c>
      <c r="I29" s="326">
        <f t="shared" si="22"/>
        <v>166.66666666666666</v>
      </c>
      <c r="J29" s="326">
        <f t="shared" si="22"/>
        <v>166.66666666666666</v>
      </c>
      <c r="K29" s="326">
        <f t="shared" si="22"/>
        <v>166.66666666666666</v>
      </c>
      <c r="L29" s="326">
        <f t="shared" si="22"/>
        <v>166.66666666666666</v>
      </c>
      <c r="M29" s="326">
        <f t="shared" si="22"/>
        <v>166.66666666666666</v>
      </c>
      <c r="N29" s="326">
        <f t="shared" ref="N29" si="25">SUM(B29:M29)</f>
        <v>2000.0000000000002</v>
      </c>
      <c r="O29" s="346">
        <v>2000</v>
      </c>
      <c r="P29" s="19">
        <f t="shared" si="0"/>
        <v>3074</v>
      </c>
      <c r="Q29" s="19">
        <f>CVRIS!F43</f>
        <v>3600</v>
      </c>
      <c r="R29" s="19">
        <v>2972</v>
      </c>
      <c r="S29" s="19">
        <v>2650</v>
      </c>
      <c r="T29" s="19">
        <v>1E-4</v>
      </c>
      <c r="U29" s="16">
        <f t="shared" si="1"/>
        <v>8.9881878315923695E-3</v>
      </c>
      <c r="V29" s="16">
        <f t="shared" si="2"/>
        <v>1.9698988511659341E-3</v>
      </c>
      <c r="W29" s="16">
        <f t="shared" si="3"/>
        <v>2.8447105803707314E-3</v>
      </c>
      <c r="X29" s="16">
        <f t="shared" si="4"/>
        <v>2.4119852914406378E-2</v>
      </c>
      <c r="Y29" s="16">
        <f t="shared" si="5"/>
        <v>0</v>
      </c>
    </row>
    <row r="30" spans="1:25">
      <c r="A30" s="3" t="s">
        <v>25</v>
      </c>
      <c r="B30" s="191">
        <f>$O30/12</f>
        <v>30.583333333333332</v>
      </c>
      <c r="C30" s="191">
        <f t="shared" si="22"/>
        <v>30.583333333333332</v>
      </c>
      <c r="D30" s="191">
        <f t="shared" si="22"/>
        <v>30.583333333333332</v>
      </c>
      <c r="E30" s="191">
        <f t="shared" si="22"/>
        <v>30.583333333333332</v>
      </c>
      <c r="F30" s="191">
        <f t="shared" si="22"/>
        <v>30.583333333333332</v>
      </c>
      <c r="G30" s="191">
        <f t="shared" si="22"/>
        <v>30.583333333333332</v>
      </c>
      <c r="H30" s="191">
        <f t="shared" si="22"/>
        <v>30.583333333333332</v>
      </c>
      <c r="I30" s="191">
        <f t="shared" si="22"/>
        <v>30.583333333333332</v>
      </c>
      <c r="J30" s="191">
        <f t="shared" si="22"/>
        <v>30.583333333333332</v>
      </c>
      <c r="K30" s="191">
        <f t="shared" si="22"/>
        <v>30.583333333333332</v>
      </c>
      <c r="L30" s="191">
        <f t="shared" si="22"/>
        <v>30.583333333333332</v>
      </c>
      <c r="M30" s="191">
        <f t="shared" si="22"/>
        <v>30.583333333333332</v>
      </c>
      <c r="N30" s="191">
        <f t="shared" si="20"/>
        <v>366.99999999999994</v>
      </c>
      <c r="O30" s="19">
        <f>P30</f>
        <v>367</v>
      </c>
      <c r="P30" s="19">
        <f t="shared" si="0"/>
        <v>367</v>
      </c>
      <c r="Q30" s="19">
        <f>CVRIS!F44</f>
        <v>119</v>
      </c>
      <c r="R30" s="19">
        <v>724</v>
      </c>
      <c r="S30" s="19">
        <v>258</v>
      </c>
      <c r="T30" s="19">
        <v>1E-4</v>
      </c>
      <c r="U30" s="16">
        <f t="shared" si="1"/>
        <v>1.0137546263150473E-3</v>
      </c>
      <c r="V30" s="16">
        <f t="shared" si="2"/>
        <v>6.511610091354059E-5</v>
      </c>
      <c r="W30" s="16">
        <f t="shared" si="3"/>
        <v>6.9299140652369091E-4</v>
      </c>
      <c r="X30" s="16">
        <f t="shared" si="4"/>
        <v>2.3482724724214511E-3</v>
      </c>
      <c r="Y30" s="16">
        <f t="shared" si="5"/>
        <v>0</v>
      </c>
    </row>
    <row r="31" spans="1:25">
      <c r="A31" s="3" t="s">
        <v>21</v>
      </c>
      <c r="B31" s="191">
        <f>$O31/12</f>
        <v>67.555555555555557</v>
      </c>
      <c r="C31" s="191">
        <f t="shared" si="22"/>
        <v>67.555555555555557</v>
      </c>
      <c r="D31" s="191">
        <f t="shared" si="22"/>
        <v>67.555555555555557</v>
      </c>
      <c r="E31" s="191">
        <f t="shared" si="22"/>
        <v>67.555555555555557</v>
      </c>
      <c r="F31" s="191">
        <f t="shared" si="22"/>
        <v>67.555555555555557</v>
      </c>
      <c r="G31" s="191">
        <f t="shared" si="22"/>
        <v>67.555555555555557</v>
      </c>
      <c r="H31" s="191">
        <f t="shared" si="22"/>
        <v>67.555555555555557</v>
      </c>
      <c r="I31" s="191">
        <f t="shared" si="22"/>
        <v>67.555555555555557</v>
      </c>
      <c r="J31" s="191">
        <f t="shared" si="22"/>
        <v>67.555555555555557</v>
      </c>
      <c r="K31" s="191">
        <f t="shared" si="22"/>
        <v>67.555555555555557</v>
      </c>
      <c r="L31" s="191">
        <f t="shared" si="22"/>
        <v>67.555555555555557</v>
      </c>
      <c r="M31" s="191">
        <f t="shared" si="22"/>
        <v>67.555555555555557</v>
      </c>
      <c r="N31" s="191">
        <f t="shared" ref="N31:N35" si="26">SUM(B31:M31)</f>
        <v>810.66666666666663</v>
      </c>
      <c r="O31" s="19">
        <f>P31</f>
        <v>810.66666666666663</v>
      </c>
      <c r="P31" s="19">
        <f t="shared" si="0"/>
        <v>810.66666666666663</v>
      </c>
      <c r="Q31" s="19">
        <f>CVRIS!F45</f>
        <v>905</v>
      </c>
      <c r="R31" s="19">
        <v>1170</v>
      </c>
      <c r="S31" s="19">
        <v>357</v>
      </c>
      <c r="T31" s="19">
        <v>1E-4</v>
      </c>
      <c r="U31" s="16">
        <f t="shared" si="1"/>
        <v>1.4564143992160069E-3</v>
      </c>
      <c r="V31" s="16">
        <f t="shared" si="2"/>
        <v>4.9521068341810287E-4</v>
      </c>
      <c r="W31" s="16">
        <f t="shared" si="3"/>
        <v>1.1198894276695005E-3</v>
      </c>
      <c r="X31" s="16">
        <f t="shared" si="4"/>
        <v>3.2493537699785197E-3</v>
      </c>
      <c r="Y31" s="16">
        <f t="shared" si="5"/>
        <v>0</v>
      </c>
    </row>
    <row r="32" spans="1:25">
      <c r="A32" s="3" t="s">
        <v>343</v>
      </c>
      <c r="B32" s="191">
        <f t="shared" ref="B32:B37" si="27">$O32/12</f>
        <v>0</v>
      </c>
      <c r="C32" s="191">
        <f t="shared" ref="C32:M36" si="28">$O32/12</f>
        <v>0</v>
      </c>
      <c r="D32" s="191">
        <f t="shared" si="28"/>
        <v>0</v>
      </c>
      <c r="E32" s="191">
        <f t="shared" si="28"/>
        <v>0</v>
      </c>
      <c r="F32" s="191">
        <f t="shared" si="28"/>
        <v>0</v>
      </c>
      <c r="G32" s="191">
        <f t="shared" si="28"/>
        <v>0</v>
      </c>
      <c r="H32" s="191">
        <f t="shared" si="28"/>
        <v>0</v>
      </c>
      <c r="I32" s="191">
        <f t="shared" si="28"/>
        <v>0</v>
      </c>
      <c r="J32" s="191">
        <f t="shared" si="28"/>
        <v>0</v>
      </c>
      <c r="K32" s="191">
        <f t="shared" si="28"/>
        <v>0</v>
      </c>
      <c r="L32" s="191">
        <f t="shared" si="28"/>
        <v>0</v>
      </c>
      <c r="M32" s="191">
        <f t="shared" si="28"/>
        <v>0</v>
      </c>
      <c r="N32" s="191">
        <f t="shared" si="26"/>
        <v>0</v>
      </c>
      <c r="O32" s="332">
        <v>0</v>
      </c>
      <c r="P32" s="19">
        <f t="shared" si="0"/>
        <v>216</v>
      </c>
      <c r="Q32" s="19">
        <f>CVRIS!F46</f>
        <v>617</v>
      </c>
      <c r="R32" s="19">
        <v>31</v>
      </c>
      <c r="S32" s="19">
        <v>0</v>
      </c>
      <c r="T32" s="19">
        <v>1E-4</v>
      </c>
      <c r="U32" s="16">
        <f t="shared" si="1"/>
        <v>9.8907613269955889E-6</v>
      </c>
      <c r="V32" s="16">
        <f t="shared" si="2"/>
        <v>3.3761877532482814E-4</v>
      </c>
      <c r="W32" s="16">
        <f t="shared" si="3"/>
        <v>2.9672283980986767E-5</v>
      </c>
      <c r="X32" s="16">
        <f t="shared" si="4"/>
        <v>0</v>
      </c>
      <c r="Y32" s="16">
        <f t="shared" si="5"/>
        <v>0</v>
      </c>
    </row>
    <row r="33" spans="1:25">
      <c r="A33" s="3" t="s">
        <v>20</v>
      </c>
      <c r="B33" s="191">
        <f t="shared" si="27"/>
        <v>916.66666666666663</v>
      </c>
      <c r="C33" s="191">
        <f t="shared" si="28"/>
        <v>916.66666666666663</v>
      </c>
      <c r="D33" s="191">
        <f t="shared" si="28"/>
        <v>916.66666666666663</v>
      </c>
      <c r="E33" s="191">
        <f t="shared" si="28"/>
        <v>916.66666666666663</v>
      </c>
      <c r="F33" s="191">
        <f t="shared" si="28"/>
        <v>916.66666666666663</v>
      </c>
      <c r="G33" s="191">
        <f t="shared" si="28"/>
        <v>916.66666666666663</v>
      </c>
      <c r="H33" s="191">
        <f t="shared" si="28"/>
        <v>916.66666666666663</v>
      </c>
      <c r="I33" s="191">
        <f t="shared" si="28"/>
        <v>916.66666666666663</v>
      </c>
      <c r="J33" s="191">
        <f t="shared" si="28"/>
        <v>916.66666666666663</v>
      </c>
      <c r="K33" s="191">
        <f t="shared" si="28"/>
        <v>916.66666666666663</v>
      </c>
      <c r="L33" s="191">
        <f t="shared" si="28"/>
        <v>916.66666666666663</v>
      </c>
      <c r="M33" s="191">
        <f t="shared" si="28"/>
        <v>916.66666666666663</v>
      </c>
      <c r="N33" s="191">
        <f t="shared" ref="N33" si="29">SUM(B33:M33)</f>
        <v>10999.999999999998</v>
      </c>
      <c r="O33" s="258">
        <f>+'Labor Rates-DP'!M19</f>
        <v>11000</v>
      </c>
      <c r="P33" s="19">
        <f t="shared" si="0"/>
        <v>5630.666666666667</v>
      </c>
      <c r="Q33" s="19">
        <f>CVRIS!F47</f>
        <v>6373</v>
      </c>
      <c r="R33" s="19">
        <v>3588</v>
      </c>
      <c r="S33" s="19">
        <v>6931</v>
      </c>
      <c r="T33" s="19">
        <v>1E-4</v>
      </c>
      <c r="U33" s="16">
        <f t="shared" si="1"/>
        <v>2.2173040079489906E-2</v>
      </c>
      <c r="V33" s="16">
        <f t="shared" si="2"/>
        <v>3.4872681606890267E-3</v>
      </c>
      <c r="W33" s="16">
        <f t="shared" si="3"/>
        <v>3.4343275781864684E-3</v>
      </c>
      <c r="X33" s="16">
        <f t="shared" si="4"/>
        <v>6.3084792660283245E-2</v>
      </c>
      <c r="Y33" s="16">
        <f t="shared" si="5"/>
        <v>0</v>
      </c>
    </row>
    <row r="34" spans="1:25">
      <c r="A34" s="3" t="s">
        <v>164</v>
      </c>
      <c r="B34" s="326">
        <f t="shared" si="27"/>
        <v>0</v>
      </c>
      <c r="C34" s="326">
        <f t="shared" si="28"/>
        <v>0</v>
      </c>
      <c r="D34" s="326">
        <f t="shared" si="28"/>
        <v>0</v>
      </c>
      <c r="E34" s="326">
        <f t="shared" si="28"/>
        <v>0</v>
      </c>
      <c r="F34" s="326">
        <f t="shared" si="28"/>
        <v>0</v>
      </c>
      <c r="G34" s="326">
        <f t="shared" si="28"/>
        <v>0</v>
      </c>
      <c r="H34" s="326">
        <f t="shared" si="28"/>
        <v>0</v>
      </c>
      <c r="I34" s="326">
        <f t="shared" si="28"/>
        <v>0</v>
      </c>
      <c r="J34" s="326">
        <f t="shared" si="28"/>
        <v>0</v>
      </c>
      <c r="K34" s="326">
        <f t="shared" si="28"/>
        <v>0</v>
      </c>
      <c r="L34" s="326">
        <f t="shared" si="28"/>
        <v>0</v>
      </c>
      <c r="M34" s="326">
        <f t="shared" si="28"/>
        <v>0</v>
      </c>
      <c r="N34" s="326">
        <f t="shared" si="26"/>
        <v>0</v>
      </c>
      <c r="O34" s="345">
        <v>0</v>
      </c>
      <c r="P34" s="19">
        <f t="shared" si="0"/>
        <v>53354.666666666664</v>
      </c>
      <c r="Q34" s="19">
        <f>CVRIS!F48</f>
        <v>48078</v>
      </c>
      <c r="R34" s="19">
        <v>56713</v>
      </c>
      <c r="S34" s="19">
        <v>55273</v>
      </c>
      <c r="T34" s="19">
        <v>1E-4</v>
      </c>
      <c r="U34" s="16">
        <f t="shared" si="1"/>
        <v>0.18578984286477507</v>
      </c>
      <c r="V34" s="16">
        <f t="shared" si="2"/>
        <v>2.6307999157321047E-2</v>
      </c>
      <c r="W34" s="16">
        <f t="shared" si="3"/>
        <v>5.4284007787538786E-2</v>
      </c>
      <c r="X34" s="16">
        <f t="shared" si="4"/>
        <v>0.50308552080678637</v>
      </c>
      <c r="Y34" s="16">
        <f t="shared" si="5"/>
        <v>0</v>
      </c>
    </row>
    <row r="35" spans="1:25">
      <c r="A35" s="3" t="s">
        <v>99</v>
      </c>
      <c r="B35" s="326">
        <f t="shared" si="27"/>
        <v>9900</v>
      </c>
      <c r="C35" s="326">
        <f t="shared" si="28"/>
        <v>9900</v>
      </c>
      <c r="D35" s="326">
        <f t="shared" si="28"/>
        <v>9900</v>
      </c>
      <c r="E35" s="326">
        <f t="shared" si="28"/>
        <v>9900</v>
      </c>
      <c r="F35" s="326">
        <f t="shared" si="28"/>
        <v>9900</v>
      </c>
      <c r="G35" s="326">
        <f t="shared" si="28"/>
        <v>9900</v>
      </c>
      <c r="H35" s="326">
        <f t="shared" si="28"/>
        <v>9900</v>
      </c>
      <c r="I35" s="326">
        <f t="shared" si="28"/>
        <v>9900</v>
      </c>
      <c r="J35" s="326">
        <f t="shared" si="28"/>
        <v>9900</v>
      </c>
      <c r="K35" s="326">
        <f t="shared" si="28"/>
        <v>9900</v>
      </c>
      <c r="L35" s="326">
        <f t="shared" si="28"/>
        <v>9900</v>
      </c>
      <c r="M35" s="326">
        <f t="shared" si="28"/>
        <v>9900</v>
      </c>
      <c r="N35" s="326">
        <f t="shared" si="26"/>
        <v>118800</v>
      </c>
      <c r="O35" s="345">
        <f>+Labor!N16</f>
        <v>118800</v>
      </c>
      <c r="P35" s="19">
        <f t="shared" si="0"/>
        <v>67438.333333333328</v>
      </c>
      <c r="Q35" s="19">
        <f>CVRIS!F49</f>
        <v>114358</v>
      </c>
      <c r="R35" s="19">
        <v>34713</v>
      </c>
      <c r="S35" s="19">
        <v>53244</v>
      </c>
      <c r="T35" s="19">
        <v>1E-4</v>
      </c>
      <c r="U35" s="16">
        <f t="shared" si="1"/>
        <v>0.1726147209960196</v>
      </c>
      <c r="V35" s="16">
        <f t="shared" si="2"/>
        <v>6.2576025783787181E-2</v>
      </c>
      <c r="W35" s="16">
        <f t="shared" si="3"/>
        <v>3.3226257865548184E-2</v>
      </c>
      <c r="X35" s="16">
        <f t="shared" si="4"/>
        <v>0.48461790512251063</v>
      </c>
      <c r="Y35" s="16">
        <f t="shared" si="5"/>
        <v>0</v>
      </c>
    </row>
    <row r="36" spans="1:25">
      <c r="A36" s="3" t="s">
        <v>91</v>
      </c>
      <c r="B36" s="191">
        <f t="shared" si="27"/>
        <v>4575.8004358500002</v>
      </c>
      <c r="C36" s="191">
        <f t="shared" si="28"/>
        <v>4575.8004358500002</v>
      </c>
      <c r="D36" s="191">
        <f t="shared" si="28"/>
        <v>4575.8004358500002</v>
      </c>
      <c r="E36" s="191">
        <f t="shared" si="28"/>
        <v>4575.8004358500002</v>
      </c>
      <c r="F36" s="191">
        <f t="shared" si="28"/>
        <v>4575.8004358500002</v>
      </c>
      <c r="G36" s="191">
        <f t="shared" si="28"/>
        <v>4575.8004358500002</v>
      </c>
      <c r="H36" s="191">
        <f t="shared" si="28"/>
        <v>4575.8004358500002</v>
      </c>
      <c r="I36" s="191">
        <f t="shared" si="28"/>
        <v>4575.8004358500002</v>
      </c>
      <c r="J36" s="191">
        <f t="shared" si="28"/>
        <v>4575.8004358500002</v>
      </c>
      <c r="K36" s="191">
        <f t="shared" si="28"/>
        <v>4575.8004358500002</v>
      </c>
      <c r="L36" s="191">
        <f t="shared" si="28"/>
        <v>4575.8004358500002</v>
      </c>
      <c r="M36" s="191">
        <f t="shared" si="28"/>
        <v>4575.8004358500002</v>
      </c>
      <c r="N36" s="191">
        <f t="shared" ref="N36" si="30">SUM(B36:M36)</f>
        <v>54909.605230200017</v>
      </c>
      <c r="O36" s="333">
        <f>+Labor!T18</f>
        <v>54909.605230200003</v>
      </c>
      <c r="P36" s="19">
        <f t="shared" si="0"/>
        <v>21936.666666666668</v>
      </c>
      <c r="Q36" s="19">
        <f>CVRIS!F50</f>
        <v>20249</v>
      </c>
      <c r="R36" s="19">
        <v>36262</v>
      </c>
      <c r="S36">
        <v>9299</v>
      </c>
      <c r="T36" s="19">
        <v>1E-4</v>
      </c>
      <c r="U36" s="16">
        <f t="shared" si="1"/>
        <v>3.9782281348497261E-2</v>
      </c>
      <c r="V36" s="16">
        <f t="shared" si="2"/>
        <v>1.1080133843683055E-2</v>
      </c>
      <c r="W36" s="16">
        <f t="shared" si="3"/>
        <v>3.4708914894146521E-2</v>
      </c>
      <c r="X36" s="16">
        <f t="shared" si="4"/>
        <v>8.4637929151345256E-2</v>
      </c>
      <c r="Y36" s="16">
        <f t="shared" si="5"/>
        <v>0</v>
      </c>
    </row>
    <row r="37" spans="1:25">
      <c r="A37" s="3" t="s">
        <v>339</v>
      </c>
      <c r="B37" s="191">
        <f t="shared" si="27"/>
        <v>3333.3333333333335</v>
      </c>
      <c r="C37" s="191">
        <f t="shared" ref="C37:M38" si="31">$O37/12</f>
        <v>3333.3333333333335</v>
      </c>
      <c r="D37" s="191">
        <f t="shared" si="31"/>
        <v>3333.3333333333335</v>
      </c>
      <c r="E37" s="191">
        <f t="shared" si="31"/>
        <v>3333.3333333333335</v>
      </c>
      <c r="F37" s="191">
        <f t="shared" si="31"/>
        <v>3333.3333333333335</v>
      </c>
      <c r="G37" s="191">
        <f t="shared" si="31"/>
        <v>3333.3333333333335</v>
      </c>
      <c r="H37" s="191">
        <f t="shared" si="31"/>
        <v>3333.3333333333335</v>
      </c>
      <c r="I37" s="191">
        <f t="shared" si="31"/>
        <v>3333.3333333333335</v>
      </c>
      <c r="J37" s="191">
        <f t="shared" si="31"/>
        <v>3333.3333333333335</v>
      </c>
      <c r="K37" s="191">
        <f t="shared" si="31"/>
        <v>3333.3333333333335</v>
      </c>
      <c r="L37" s="191">
        <f t="shared" si="31"/>
        <v>3333.3333333333335</v>
      </c>
      <c r="M37" s="191">
        <f t="shared" si="31"/>
        <v>3333.3333333333335</v>
      </c>
      <c r="N37" s="191">
        <f t="shared" si="20"/>
        <v>40000</v>
      </c>
      <c r="O37" s="333">
        <f>Labor!V18</f>
        <v>40000</v>
      </c>
      <c r="P37" s="19">
        <f t="shared" si="0"/>
        <v>63034.333333333336</v>
      </c>
      <c r="Q37" s="19">
        <f>CVRIS!F51</f>
        <v>33235</v>
      </c>
      <c r="R37" s="19">
        <v>87683</v>
      </c>
      <c r="S37" s="19">
        <v>68185</v>
      </c>
      <c r="T37" s="19">
        <v>1E-4</v>
      </c>
      <c r="U37" s="16">
        <f t="shared" si="1"/>
        <v>0.23484531435277201</v>
      </c>
      <c r="V37" s="16">
        <f t="shared" si="2"/>
        <v>1.8185996755138836E-2</v>
      </c>
      <c r="W37" s="16">
        <f t="shared" si="3"/>
        <v>8.3927576654995562E-2</v>
      </c>
      <c r="X37" s="16">
        <f t="shared" si="4"/>
        <v>0.6206083664033204</v>
      </c>
      <c r="Y37" s="16">
        <f t="shared" si="5"/>
        <v>0</v>
      </c>
    </row>
    <row r="38" spans="1:25">
      <c r="A38" s="334" t="s">
        <v>340</v>
      </c>
      <c r="B38" s="191">
        <f>$O38/12</f>
        <v>0</v>
      </c>
      <c r="C38" s="191">
        <f t="shared" si="31"/>
        <v>0</v>
      </c>
      <c r="D38" s="191">
        <f t="shared" si="31"/>
        <v>0</v>
      </c>
      <c r="E38" s="191">
        <f t="shared" si="31"/>
        <v>0</v>
      </c>
      <c r="F38" s="191">
        <f t="shared" si="31"/>
        <v>0</v>
      </c>
      <c r="G38" s="191">
        <f t="shared" si="31"/>
        <v>0</v>
      </c>
      <c r="H38" s="191">
        <f t="shared" si="31"/>
        <v>0</v>
      </c>
      <c r="I38" s="191">
        <f t="shared" si="31"/>
        <v>0</v>
      </c>
      <c r="J38" s="191">
        <f t="shared" si="31"/>
        <v>0</v>
      </c>
      <c r="K38" s="191">
        <f t="shared" si="31"/>
        <v>0</v>
      </c>
      <c r="L38" s="191">
        <f t="shared" si="31"/>
        <v>0</v>
      </c>
      <c r="M38" s="191">
        <f t="shared" si="31"/>
        <v>0</v>
      </c>
      <c r="N38" s="191">
        <f t="shared" si="20"/>
        <v>0</v>
      </c>
      <c r="O38" s="19">
        <v>0</v>
      </c>
      <c r="P38" s="19">
        <f t="shared" si="0"/>
        <v>16949.666666666668</v>
      </c>
      <c r="Q38" s="19">
        <f>CVRIS!F52</f>
        <v>1906</v>
      </c>
      <c r="R38" s="19">
        <v>48943</v>
      </c>
      <c r="S38" s="19">
        <v>0</v>
      </c>
      <c r="T38" s="19">
        <v>1E-4</v>
      </c>
      <c r="U38" s="16">
        <f t="shared" si="1"/>
        <v>1.5615597794424035E-2</v>
      </c>
      <c r="V38" s="16">
        <f t="shared" si="2"/>
        <v>1.0429520028672973E-3</v>
      </c>
      <c r="W38" s="16">
        <f t="shared" si="3"/>
        <v>4.6846793383272106E-2</v>
      </c>
      <c r="X38" s="16">
        <f t="shared" si="4"/>
        <v>0</v>
      </c>
      <c r="Y38" s="16">
        <f t="shared" si="5"/>
        <v>0</v>
      </c>
    </row>
    <row r="39" spans="1:25">
      <c r="A39" s="3" t="s">
        <v>90</v>
      </c>
      <c r="B39" s="191">
        <f>$O39/12</f>
        <v>550</v>
      </c>
      <c r="C39" s="191">
        <f t="shared" ref="C39:M41" si="32">$O39/12</f>
        <v>550</v>
      </c>
      <c r="D39" s="191">
        <f t="shared" si="32"/>
        <v>550</v>
      </c>
      <c r="E39" s="191">
        <f t="shared" si="32"/>
        <v>550</v>
      </c>
      <c r="F39" s="191">
        <f t="shared" si="32"/>
        <v>550</v>
      </c>
      <c r="G39" s="191">
        <f t="shared" si="32"/>
        <v>550</v>
      </c>
      <c r="H39" s="191">
        <f t="shared" si="32"/>
        <v>550</v>
      </c>
      <c r="I39" s="191">
        <f t="shared" si="32"/>
        <v>550</v>
      </c>
      <c r="J39" s="191">
        <f t="shared" si="32"/>
        <v>550</v>
      </c>
      <c r="K39" s="191">
        <f t="shared" si="32"/>
        <v>550</v>
      </c>
      <c r="L39" s="191">
        <f t="shared" si="32"/>
        <v>550</v>
      </c>
      <c r="M39" s="191">
        <f t="shared" si="32"/>
        <v>550</v>
      </c>
      <c r="N39" s="191">
        <f t="shared" si="20"/>
        <v>6600</v>
      </c>
      <c r="O39" s="258">
        <f>'Labor Rates-DP'!J19</f>
        <v>6600</v>
      </c>
      <c r="P39" s="19">
        <f t="shared" si="0"/>
        <v>2244.3333333333335</v>
      </c>
      <c r="Q39" s="19">
        <f>CVRIS!F53</f>
        <v>367</v>
      </c>
      <c r="R39" s="19">
        <v>1757</v>
      </c>
      <c r="S39">
        <v>4609</v>
      </c>
      <c r="T39" s="19">
        <v>1E-4</v>
      </c>
      <c r="U39" s="16">
        <f t="shared" si="1"/>
        <v>1.4544029630298813E-2</v>
      </c>
      <c r="V39" s="16">
        <f t="shared" si="2"/>
        <v>2.0082024399386048E-4</v>
      </c>
      <c r="W39" s="16">
        <f t="shared" si="3"/>
        <v>1.68174848240625E-3</v>
      </c>
      <c r="X39" s="16">
        <f t="shared" si="4"/>
        <v>4.1950340408490189E-2</v>
      </c>
      <c r="Y39" s="16">
        <f t="shared" si="5"/>
        <v>0</v>
      </c>
    </row>
    <row r="40" spans="1:25">
      <c r="A40" s="3" t="s">
        <v>132</v>
      </c>
      <c r="B40" s="191">
        <f>$O40/12</f>
        <v>67.833333333333329</v>
      </c>
      <c r="C40" s="191">
        <f t="shared" si="32"/>
        <v>67.833333333333329</v>
      </c>
      <c r="D40" s="191">
        <f t="shared" si="32"/>
        <v>67.833333333333329</v>
      </c>
      <c r="E40" s="191">
        <f t="shared" si="32"/>
        <v>67.833333333333329</v>
      </c>
      <c r="F40" s="191">
        <f t="shared" si="32"/>
        <v>67.833333333333329</v>
      </c>
      <c r="G40" s="191">
        <f t="shared" si="32"/>
        <v>67.833333333333329</v>
      </c>
      <c r="H40" s="191">
        <f t="shared" si="32"/>
        <v>67.833333333333329</v>
      </c>
      <c r="I40" s="191">
        <f t="shared" si="32"/>
        <v>67.833333333333329</v>
      </c>
      <c r="J40" s="191">
        <f t="shared" si="32"/>
        <v>67.833333333333329</v>
      </c>
      <c r="K40" s="191">
        <f t="shared" si="32"/>
        <v>67.833333333333329</v>
      </c>
      <c r="L40" s="191">
        <f t="shared" si="32"/>
        <v>67.833333333333329</v>
      </c>
      <c r="M40" s="191">
        <f t="shared" si="32"/>
        <v>67.833333333333329</v>
      </c>
      <c r="N40" s="191">
        <f>SUM(B40:M40)</f>
        <v>814.00000000000011</v>
      </c>
      <c r="O40" s="19">
        <f>P40</f>
        <v>814</v>
      </c>
      <c r="P40" s="19">
        <f t="shared" si="0"/>
        <v>814</v>
      </c>
      <c r="Q40" s="19">
        <f>CVRIS!F54</f>
        <v>2058</v>
      </c>
      <c r="R40" s="19">
        <v>286</v>
      </c>
      <c r="S40" s="19">
        <v>98</v>
      </c>
      <c r="T40" s="19">
        <v>1E-4</v>
      </c>
      <c r="U40" s="16">
        <f t="shared" si="1"/>
        <v>3.8857673841816371E-4</v>
      </c>
      <c r="V40" s="16">
        <f t="shared" si="2"/>
        <v>1.1261255099165256E-3</v>
      </c>
      <c r="W40" s="16">
        <f t="shared" si="3"/>
        <v>2.7375074898587789E-4</v>
      </c>
      <c r="X40" s="16">
        <f t="shared" si="4"/>
        <v>8.9197946626861323E-4</v>
      </c>
      <c r="Y40" s="16">
        <f t="shared" si="5"/>
        <v>0</v>
      </c>
    </row>
    <row r="41" spans="1:25">
      <c r="A41" s="3" t="s">
        <v>92</v>
      </c>
      <c r="B41" s="191">
        <f>$O41/12</f>
        <v>275.5</v>
      </c>
      <c r="C41" s="191">
        <f t="shared" si="32"/>
        <v>275.5</v>
      </c>
      <c r="D41" s="191">
        <f t="shared" si="32"/>
        <v>275.5</v>
      </c>
      <c r="E41" s="191">
        <f t="shared" si="32"/>
        <v>275.5</v>
      </c>
      <c r="F41" s="191">
        <f t="shared" si="32"/>
        <v>275.5</v>
      </c>
      <c r="G41" s="191">
        <f t="shared" si="32"/>
        <v>275.5</v>
      </c>
      <c r="H41" s="191">
        <f t="shared" si="32"/>
        <v>275.5</v>
      </c>
      <c r="I41" s="191">
        <f t="shared" si="32"/>
        <v>275.5</v>
      </c>
      <c r="J41" s="191">
        <f t="shared" si="32"/>
        <v>275.5</v>
      </c>
      <c r="K41" s="191">
        <f t="shared" si="32"/>
        <v>275.5</v>
      </c>
      <c r="L41" s="191">
        <f t="shared" si="32"/>
        <v>275.5</v>
      </c>
      <c r="M41" s="191">
        <f t="shared" si="32"/>
        <v>275.5</v>
      </c>
      <c r="N41" s="191">
        <f t="shared" ref="N41:N43" si="33">SUM(B41:M41)</f>
        <v>3306</v>
      </c>
      <c r="O41" s="19">
        <f>P41</f>
        <v>3306</v>
      </c>
      <c r="P41" s="19">
        <f t="shared" si="0"/>
        <v>3306</v>
      </c>
      <c r="Q41" s="19">
        <f>CVRIS!F55</f>
        <v>5910</v>
      </c>
      <c r="R41" s="19">
        <v>1439</v>
      </c>
      <c r="S41" s="19">
        <v>2569</v>
      </c>
      <c r="T41" s="19">
        <v>1E-4</v>
      </c>
      <c r="U41" s="16">
        <f t="shared" si="1"/>
        <v>8.2533242863432974E-3</v>
      </c>
      <c r="V41" s="16">
        <f t="shared" si="2"/>
        <v>3.2339172806640747E-3</v>
      </c>
      <c r="W41" s="16">
        <f t="shared" si="3"/>
        <v>1.3773682789883857E-3</v>
      </c>
      <c r="X41" s="16">
        <f t="shared" si="4"/>
        <v>2.3382604580041506E-2</v>
      </c>
      <c r="Y41" s="16">
        <f t="shared" si="5"/>
        <v>0</v>
      </c>
    </row>
    <row r="42" spans="1:25">
      <c r="A42" s="3" t="s">
        <v>24</v>
      </c>
      <c r="B42" s="19">
        <f>$O$42/12</f>
        <v>600</v>
      </c>
      <c r="C42" s="19">
        <f t="shared" ref="C42:M42" si="34">$O$42/12</f>
        <v>600</v>
      </c>
      <c r="D42" s="19">
        <f t="shared" si="34"/>
        <v>600</v>
      </c>
      <c r="E42" s="19">
        <f t="shared" si="34"/>
        <v>600</v>
      </c>
      <c r="F42" s="19">
        <f t="shared" si="34"/>
        <v>600</v>
      </c>
      <c r="G42" s="19">
        <f t="shared" si="34"/>
        <v>600</v>
      </c>
      <c r="H42" s="19">
        <f t="shared" si="34"/>
        <v>600</v>
      </c>
      <c r="I42" s="19">
        <f t="shared" si="34"/>
        <v>600</v>
      </c>
      <c r="J42" s="19">
        <f t="shared" si="34"/>
        <v>600</v>
      </c>
      <c r="K42" s="19">
        <f t="shared" si="34"/>
        <v>600</v>
      </c>
      <c r="L42" s="19">
        <f t="shared" si="34"/>
        <v>600</v>
      </c>
      <c r="M42" s="19">
        <f t="shared" si="34"/>
        <v>600</v>
      </c>
      <c r="N42" s="191">
        <f t="shared" si="33"/>
        <v>7200</v>
      </c>
      <c r="O42" s="258">
        <f>'Labor Rates-DP'!I19</f>
        <v>7200</v>
      </c>
      <c r="P42" s="19">
        <f t="shared" si="0"/>
        <v>3126</v>
      </c>
      <c r="Q42" s="19">
        <f>CVRIS!F56</f>
        <v>201</v>
      </c>
      <c r="R42" s="19">
        <v>4425</v>
      </c>
      <c r="S42" s="19">
        <v>4752</v>
      </c>
      <c r="T42" s="19">
        <v>1E-4</v>
      </c>
      <c r="U42" s="16">
        <f t="shared" si="1"/>
        <v>1.5829127176137464E-2</v>
      </c>
      <c r="V42" s="16">
        <f t="shared" si="2"/>
        <v>1.0998601919009797E-4</v>
      </c>
      <c r="W42" s="16">
        <f t="shared" si="3"/>
        <v>4.2354792456731107E-3</v>
      </c>
      <c r="X42" s="16">
        <f t="shared" si="4"/>
        <v>4.3251902282739285E-2</v>
      </c>
      <c r="Y42" s="16">
        <f t="shared" si="5"/>
        <v>0</v>
      </c>
    </row>
    <row r="43" spans="1:25">
      <c r="A43" s="3" t="s">
        <v>18</v>
      </c>
      <c r="B43" s="191">
        <f>$O43/12</f>
        <v>317.08333333333331</v>
      </c>
      <c r="C43" s="191">
        <f t="shared" ref="C43:M43" si="35">$O43/12</f>
        <v>317.08333333333331</v>
      </c>
      <c r="D43" s="191">
        <f t="shared" si="35"/>
        <v>317.08333333333331</v>
      </c>
      <c r="E43" s="191">
        <f t="shared" si="35"/>
        <v>317.08333333333331</v>
      </c>
      <c r="F43" s="191">
        <f t="shared" si="35"/>
        <v>317.08333333333331</v>
      </c>
      <c r="G43" s="191">
        <f t="shared" si="35"/>
        <v>317.08333333333331</v>
      </c>
      <c r="H43" s="191">
        <f t="shared" si="35"/>
        <v>317.08333333333331</v>
      </c>
      <c r="I43" s="191">
        <f t="shared" si="35"/>
        <v>317.08333333333331</v>
      </c>
      <c r="J43" s="191">
        <f t="shared" si="35"/>
        <v>317.08333333333331</v>
      </c>
      <c r="K43" s="191">
        <f t="shared" si="35"/>
        <v>317.08333333333331</v>
      </c>
      <c r="L43" s="191">
        <f t="shared" si="35"/>
        <v>317.08333333333331</v>
      </c>
      <c r="M43" s="191">
        <f t="shared" si="35"/>
        <v>317.08333333333331</v>
      </c>
      <c r="N43" s="191">
        <f t="shared" si="33"/>
        <v>3805.0000000000005</v>
      </c>
      <c r="O43" s="19">
        <f>P43</f>
        <v>3805</v>
      </c>
      <c r="P43" s="19">
        <f t="shared" si="0"/>
        <v>3805</v>
      </c>
      <c r="Q43" s="19">
        <f>CVRIS!F57</f>
        <v>70</v>
      </c>
      <c r="R43" s="19">
        <v>11317</v>
      </c>
      <c r="S43" s="19">
        <v>28</v>
      </c>
      <c r="T43" s="19">
        <v>1E-4</v>
      </c>
      <c r="U43" s="16">
        <f t="shared" si="1"/>
        <v>3.6957164233463054E-3</v>
      </c>
      <c r="V43" s="16">
        <f t="shared" si="2"/>
        <v>3.830358877267094E-5</v>
      </c>
      <c r="W43" s="16">
        <f t="shared" si="3"/>
        <v>1.0832297993962169E-2</v>
      </c>
      <c r="X43" s="16">
        <f t="shared" si="4"/>
        <v>2.5485127607674664E-4</v>
      </c>
      <c r="Y43" s="16">
        <f t="shared" si="5"/>
        <v>0</v>
      </c>
    </row>
    <row r="44" spans="1:25">
      <c r="A44" s="3" t="s">
        <v>108</v>
      </c>
      <c r="B44" s="330">
        <f t="shared" ref="B44:M44" si="36">$O44/12</f>
        <v>17250</v>
      </c>
      <c r="C44" s="330">
        <f t="shared" si="36"/>
        <v>17250</v>
      </c>
      <c r="D44" s="330">
        <f t="shared" si="36"/>
        <v>17250</v>
      </c>
      <c r="E44" s="330">
        <f t="shared" si="36"/>
        <v>17250</v>
      </c>
      <c r="F44" s="330">
        <f t="shared" si="36"/>
        <v>17250</v>
      </c>
      <c r="G44" s="330">
        <f t="shared" si="36"/>
        <v>17250</v>
      </c>
      <c r="H44" s="330">
        <f t="shared" si="36"/>
        <v>17250</v>
      </c>
      <c r="I44" s="330">
        <f t="shared" si="36"/>
        <v>17250</v>
      </c>
      <c r="J44" s="330">
        <f t="shared" si="36"/>
        <v>17250</v>
      </c>
      <c r="K44" s="330">
        <f t="shared" si="36"/>
        <v>17250</v>
      </c>
      <c r="L44" s="330">
        <f t="shared" si="36"/>
        <v>17250</v>
      </c>
      <c r="M44" s="330">
        <f t="shared" si="36"/>
        <v>17250</v>
      </c>
      <c r="N44" s="330">
        <f>SUM(B44:M44)</f>
        <v>207000</v>
      </c>
      <c r="O44" s="329">
        <f>'Corp OH Alloc &amp; Interest Exp'!B5</f>
        <v>207000</v>
      </c>
      <c r="P44" s="19">
        <f t="shared" si="0"/>
        <v>278352.66666666669</v>
      </c>
      <c r="Q44" s="19">
        <f>CVRIS!F58</f>
        <v>278036</v>
      </c>
      <c r="R44" s="19">
        <v>369009</v>
      </c>
      <c r="S44" s="19">
        <v>188013</v>
      </c>
      <c r="T44" s="19">
        <v>1E-4</v>
      </c>
      <c r="U44" s="16">
        <f t="shared" si="1"/>
        <v>0.68815570566307871</v>
      </c>
      <c r="V44" s="16">
        <f t="shared" si="2"/>
        <v>0.15213966582854765</v>
      </c>
      <c r="W44" s="16">
        <f t="shared" si="3"/>
        <v>0.35320451095290145</v>
      </c>
      <c r="X44" s="16">
        <f t="shared" si="4"/>
        <v>1.7112626060363345</v>
      </c>
      <c r="Y44" s="16">
        <f t="shared" si="5"/>
        <v>0</v>
      </c>
    </row>
    <row r="45" spans="1:25" ht="16.5" thickBot="1">
      <c r="A45" s="8" t="s">
        <v>26</v>
      </c>
      <c r="B45" s="192">
        <f t="shared" ref="B45:T45" si="37">SUM(B8:B44)</f>
        <v>92497.016832747424</v>
      </c>
      <c r="C45" s="192">
        <f t="shared" si="37"/>
        <v>92497.016832747424</v>
      </c>
      <c r="D45" s="192">
        <f t="shared" si="37"/>
        <v>92497.016832747424</v>
      </c>
      <c r="E45" s="192">
        <f t="shared" si="37"/>
        <v>92497.016832747424</v>
      </c>
      <c r="F45" s="192">
        <f t="shared" si="37"/>
        <v>92497.016832747424</v>
      </c>
      <c r="G45" s="192">
        <f t="shared" si="37"/>
        <v>92497.016832747424</v>
      </c>
      <c r="H45" s="192">
        <f t="shared" si="37"/>
        <v>92497.016832747424</v>
      </c>
      <c r="I45" s="192">
        <f t="shared" si="37"/>
        <v>92497.016832747424</v>
      </c>
      <c r="J45" s="192">
        <f t="shared" si="37"/>
        <v>92497.016832747424</v>
      </c>
      <c r="K45" s="192">
        <f t="shared" si="37"/>
        <v>92497.016832747424</v>
      </c>
      <c r="L45" s="192">
        <f t="shared" si="37"/>
        <v>92497.016832747424</v>
      </c>
      <c r="M45" s="192">
        <f t="shared" si="37"/>
        <v>92497.016832747424</v>
      </c>
      <c r="N45" s="23">
        <f t="shared" si="37"/>
        <v>1109964.201992969</v>
      </c>
      <c r="O45" s="259">
        <f t="shared" si="37"/>
        <v>1109964.201992969</v>
      </c>
      <c r="P45" s="23">
        <f t="shared" si="37"/>
        <v>1246179.6666666665</v>
      </c>
      <c r="Q45" s="23">
        <f t="shared" si="37"/>
        <v>1129514</v>
      </c>
      <c r="R45" s="23">
        <f t="shared" si="37"/>
        <v>1084600</v>
      </c>
      <c r="S45" s="23">
        <f t="shared" si="37"/>
        <v>1524425</v>
      </c>
      <c r="T45" s="23">
        <f t="shared" si="37"/>
        <v>3.6999999999999976E-3</v>
      </c>
      <c r="U45" s="16" t="s">
        <v>10</v>
      </c>
      <c r="V45" s="16"/>
      <c r="W45" s="16"/>
      <c r="X45" s="16"/>
      <c r="Y45" s="16"/>
    </row>
    <row r="46" spans="1:25" ht="15.75" thickTop="1">
      <c r="N46" s="191"/>
      <c r="O46" s="14"/>
      <c r="P46" s="14"/>
      <c r="Q46" s="62" t="s">
        <v>139</v>
      </c>
      <c r="R46" s="62" t="s">
        <v>139</v>
      </c>
      <c r="S46" s="62" t="s">
        <v>139</v>
      </c>
      <c r="T46" s="62" t="s">
        <v>139</v>
      </c>
      <c r="U46" s="16"/>
      <c r="V46" s="16"/>
      <c r="W46" s="16"/>
      <c r="X46" s="16"/>
      <c r="Y46" s="16"/>
    </row>
    <row r="47" spans="1:25">
      <c r="N47" s="191"/>
      <c r="R47" t="s">
        <v>10</v>
      </c>
      <c r="S47" t="s">
        <v>10</v>
      </c>
      <c r="T47" t="s">
        <v>10</v>
      </c>
    </row>
    <row r="53" spans="14:15">
      <c r="N53" t="s">
        <v>397</v>
      </c>
      <c r="O53" s="335">
        <f>O10+O11+O12+O20+O35+O36+O37</f>
        <v>311798.88470844598</v>
      </c>
    </row>
    <row r="54" spans="14:15">
      <c r="N54" t="s">
        <v>395</v>
      </c>
      <c r="O54">
        <f>O53-Labor!O22</f>
        <v>0</v>
      </c>
    </row>
    <row r="56" spans="14:15">
      <c r="N56" t="s">
        <v>398</v>
      </c>
      <c r="O56" s="335">
        <f>O16+O19+O23+O24+O28+O33+O39+O42</f>
        <v>173600</v>
      </c>
    </row>
    <row r="57" spans="14:15">
      <c r="N57" t="s">
        <v>395</v>
      </c>
      <c r="O57">
        <f>O56-'Labor Rates-DP'!P19-'Labor Rates-DP'!P21</f>
        <v>-67000</v>
      </c>
    </row>
  </sheetData>
  <sheetProtection algorithmName="SHA-512" hashValue="SOeOsZRjrgIw6dhTUB0GY4CgrDxZY+x1WcbDT0K4i958iTNl39bBkYh6U6311gWrmC8L7X6tlXHAJjAaECsKZw==" saltValue="zidLFiIv+Vck9fJKGpVqog==" spinCount="100000" sheet="1" objects="1" scenarios="1"/>
  <phoneticPr fontId="0" type="noConversion"/>
  <printOptions horizontalCentered="1"/>
  <pageMargins left="0" right="0" top="1.5" bottom="0.3" header="0.5" footer="0.5"/>
  <pageSetup scale="31" orientation="portrait" r:id="rId1"/>
  <headerFooter alignWithMargins="0">
    <oddHeader>&amp;C&amp;"Arial MT,Bold"&amp;10CVR ENGINEERING
Budgeted Operating Expenses
For the Twelve Months Ended December 31, 2024&amp;R&amp;"Arial MT,Bold"&amp;8&amp;F
&amp;D
&amp;T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1">
    <tabColor rgb="FF92D050"/>
    <pageSetUpPr fitToPage="1"/>
  </sheetPr>
  <dimension ref="A2:D15"/>
  <sheetViews>
    <sheetView zoomScale="140" zoomScaleNormal="140" workbookViewId="0">
      <selection activeCell="S25" sqref="S25"/>
    </sheetView>
  </sheetViews>
  <sheetFormatPr defaultColWidth="6.21875" defaultRowHeight="15"/>
  <cols>
    <col min="1" max="1" width="37.33203125" style="34" customWidth="1"/>
    <col min="2" max="9" width="13.33203125" style="34" customWidth="1"/>
    <col min="10" max="16384" width="6.21875" style="34"/>
  </cols>
  <sheetData>
    <row r="2" spans="1:4" ht="15.75">
      <c r="B2" s="7" t="s">
        <v>127</v>
      </c>
      <c r="C2" s="7" t="s">
        <v>129</v>
      </c>
    </row>
    <row r="3" spans="1:4" ht="15.75">
      <c r="B3" s="7" t="s">
        <v>116</v>
      </c>
      <c r="C3" s="7" t="s">
        <v>29</v>
      </c>
    </row>
    <row r="4" spans="1:4" ht="15.75">
      <c r="B4" s="12" t="s">
        <v>128</v>
      </c>
      <c r="C4" s="12" t="s">
        <v>128</v>
      </c>
    </row>
    <row r="5" spans="1:4" ht="15.75" thickBot="1">
      <c r="A5" t="s">
        <v>386</v>
      </c>
      <c r="B5" s="353">
        <v>207000</v>
      </c>
      <c r="C5" s="348">
        <f>0</f>
        <v>0</v>
      </c>
      <c r="D5"/>
    </row>
    <row r="6" spans="1:4" ht="16.5" thickTop="1">
      <c r="B6" s="7" t="s">
        <v>109</v>
      </c>
      <c r="C6" s="7" t="s">
        <v>109</v>
      </c>
    </row>
    <row r="7" spans="1:4">
      <c r="B7" s="63"/>
      <c r="C7" s="63"/>
    </row>
    <row r="8" spans="1:4">
      <c r="B8" s="64"/>
      <c r="C8" s="64"/>
    </row>
    <row r="9" spans="1:4">
      <c r="B9" s="64"/>
    </row>
    <row r="11" spans="1:4" ht="15.75">
      <c r="A11" s="15" t="s">
        <v>125</v>
      </c>
    </row>
    <row r="12" spans="1:4">
      <c r="A12" s="34" t="s">
        <v>126</v>
      </c>
    </row>
    <row r="15" spans="1:4" ht="15.75">
      <c r="A15" s="59"/>
    </row>
  </sheetData>
  <sheetProtection algorithmName="SHA-512" hashValue="O7JaRGjqqH4dG02hKeajot5wnNQgult7m/qJs7KHkwxh8oWkCoHPU7qh+n/N7xSeWd5Dp+cD5msm8r2vvpAo0A==" saltValue="uXmmoU2zuqZttjGZAiRfTw==" spinCount="100000" sheet="1" objects="1" scenarios="1"/>
  <phoneticPr fontId="0" type="noConversion"/>
  <printOptions horizontalCentered="1"/>
  <pageMargins left="0" right="0.31" top="1.5" bottom="0.3" header="0.5" footer="0.5"/>
  <pageSetup orientation="portrait" r:id="rId1"/>
  <headerFooter alignWithMargins="0">
    <oddHeader>&amp;C&amp;"Arial MT,Bold"&amp;10CVR ENGINEERING
Budgeted Corporate Overhead Allocation &amp;&amp; Interest Expense
For the Twelve Months Ended December 31, 2024
&amp;R&amp;"Arial MT,Bold"&amp;8&amp;F
&amp;D
&amp;T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0">
    <tabColor rgb="FF92D050"/>
    <pageSetUpPr fitToPage="1"/>
  </sheetPr>
  <dimension ref="A1:LP69"/>
  <sheetViews>
    <sheetView zoomScale="90" zoomScaleNormal="90" workbookViewId="0">
      <pane xSplit="2" ySplit="4" topLeftCell="C5" activePane="bottomRight" state="frozen"/>
      <selection activeCell="S25" sqref="S25"/>
      <selection pane="topRight" activeCell="S25" sqref="S25"/>
      <selection pane="bottomLeft" activeCell="S25" sqref="S25"/>
      <selection pane="bottomRight" activeCell="S25" sqref="S25"/>
    </sheetView>
  </sheetViews>
  <sheetFormatPr defaultColWidth="8.88671875" defaultRowHeight="12.75"/>
  <cols>
    <col min="1" max="1" width="31" style="231" customWidth="1"/>
    <col min="2" max="2" width="0.88671875" style="229" customWidth="1"/>
    <col min="3" max="3" width="11.5546875" style="228" bestFit="1" customWidth="1"/>
    <col min="4" max="9" width="13.77734375" style="230" bestFit="1" customWidth="1"/>
    <col min="10" max="12" width="11.5546875" style="230" bestFit="1" customWidth="1"/>
    <col min="13" max="14" width="10.33203125" style="230" bestFit="1" customWidth="1"/>
    <col min="15" max="15" width="11.5546875" style="230" bestFit="1" customWidth="1"/>
    <col min="16" max="16" width="8.88671875" style="230"/>
    <col min="17" max="17" width="11.5546875" style="230" bestFit="1" customWidth="1"/>
    <col min="18" max="16384" width="8.88671875" style="230"/>
  </cols>
  <sheetData>
    <row r="1" spans="1:19">
      <c r="A1" s="225"/>
      <c r="B1" s="225"/>
      <c r="C1" s="359" t="s">
        <v>244</v>
      </c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</row>
    <row r="2" spans="1:19">
      <c r="A2" s="232"/>
      <c r="B2" s="232"/>
      <c r="C2" s="360" t="s">
        <v>181</v>
      </c>
      <c r="D2" s="360" t="s">
        <v>182</v>
      </c>
      <c r="E2" s="360" t="s">
        <v>183</v>
      </c>
      <c r="F2" s="360" t="s">
        <v>184</v>
      </c>
      <c r="G2" s="360" t="s">
        <v>185</v>
      </c>
      <c r="H2" s="360" t="s">
        <v>186</v>
      </c>
      <c r="I2" s="360" t="s">
        <v>187</v>
      </c>
      <c r="J2" s="360" t="s">
        <v>188</v>
      </c>
      <c r="K2" s="360" t="s">
        <v>189</v>
      </c>
      <c r="L2" s="360" t="s">
        <v>190</v>
      </c>
      <c r="M2" s="360" t="s">
        <v>191</v>
      </c>
      <c r="N2" s="360" t="s">
        <v>192</v>
      </c>
    </row>
    <row r="3" spans="1:19">
      <c r="A3" s="233"/>
      <c r="B3" s="232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</row>
    <row r="4" spans="1:19">
      <c r="A4" s="234"/>
      <c r="B4" s="235"/>
      <c r="C4" s="360"/>
      <c r="D4" s="360"/>
      <c r="E4" s="360"/>
      <c r="F4" s="360"/>
      <c r="G4" s="360"/>
      <c r="H4" s="360"/>
      <c r="I4" s="360"/>
      <c r="J4" s="360"/>
      <c r="K4" s="360"/>
      <c r="L4" s="360"/>
      <c r="M4" s="360"/>
      <c r="N4" s="360"/>
    </row>
    <row r="5" spans="1:19" ht="13.5" thickBot="1">
      <c r="A5" s="234"/>
      <c r="B5" s="235"/>
      <c r="C5" s="235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</row>
    <row r="6" spans="1:19" ht="30">
      <c r="A6" s="135" t="s">
        <v>180</v>
      </c>
      <c r="B6" s="160"/>
      <c r="C6" s="364" t="s">
        <v>308</v>
      </c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9" s="311" customFormat="1">
      <c r="A7" s="309" t="s">
        <v>173</v>
      </c>
      <c r="B7" s="310"/>
      <c r="C7" s="312">
        <v>1</v>
      </c>
      <c r="D7" s="312">
        <v>1</v>
      </c>
      <c r="E7" s="312">
        <v>1</v>
      </c>
      <c r="F7" s="312">
        <v>1</v>
      </c>
      <c r="G7" s="312">
        <v>1</v>
      </c>
      <c r="H7" s="312">
        <v>1</v>
      </c>
      <c r="I7" s="312">
        <v>1</v>
      </c>
      <c r="J7" s="312">
        <v>1</v>
      </c>
      <c r="K7" s="312">
        <v>1</v>
      </c>
      <c r="L7" s="312">
        <v>1</v>
      </c>
      <c r="M7" s="312">
        <v>1</v>
      </c>
      <c r="N7" s="312">
        <v>1</v>
      </c>
      <c r="O7" s="239"/>
      <c r="P7" s="239"/>
      <c r="Q7" s="239"/>
      <c r="R7" s="239"/>
      <c r="S7" s="239"/>
    </row>
    <row r="8" spans="1:19">
      <c r="A8" s="133" t="s">
        <v>328</v>
      </c>
      <c r="B8" s="159"/>
      <c r="C8" s="313">
        <f>'Labor Rates-DP'!Q51</f>
        <v>1183.7499999999998</v>
      </c>
      <c r="D8" s="313">
        <f>'Labor Rates-DP'!Q52</f>
        <v>1183.7499999999998</v>
      </c>
      <c r="E8" s="313">
        <f>'Labor Rates-DP'!Q53</f>
        <v>1183.7499999999998</v>
      </c>
      <c r="F8" s="313">
        <f>'Labor Rates-DP'!Q54</f>
        <v>1183.7499999999998</v>
      </c>
      <c r="G8" s="313">
        <f>'Labor Rates-DP'!Q55</f>
        <v>1183.7499999999998</v>
      </c>
      <c r="H8" s="313">
        <f>'Labor Rates-DP'!Q56</f>
        <v>1183.7499999999998</v>
      </c>
      <c r="I8" s="313">
        <f>'Labor Rates-DP'!Q57</f>
        <v>1183.7499999999998</v>
      </c>
      <c r="J8" s="313">
        <f>'Labor Rates-DP'!Q58</f>
        <v>1183.7499999999998</v>
      </c>
      <c r="K8" s="313">
        <f>'Labor Rates-DP'!Q59</f>
        <v>1183.7499999999998</v>
      </c>
      <c r="L8" s="313">
        <f>'Labor Rates-DP'!Q60</f>
        <v>1183.7499999999998</v>
      </c>
      <c r="M8" s="313">
        <f>'Labor Rates-DP'!Q61</f>
        <v>1183.7499999999998</v>
      </c>
      <c r="N8" s="313">
        <f>'Labor Rates-DP'!Q62</f>
        <v>1183.7499999999998</v>
      </c>
      <c r="O8" s="251">
        <f>SUM(C8:N8)</f>
        <v>14204.999999999998</v>
      </c>
      <c r="P8" s="71"/>
      <c r="Q8" s="240"/>
      <c r="R8" s="71"/>
      <c r="S8" s="71"/>
    </row>
    <row r="9" spans="1:19">
      <c r="A9" s="133" t="s">
        <v>368</v>
      </c>
      <c r="B9" s="159"/>
      <c r="C9" s="331">
        <f>'Labor Rates-DP'!I48</f>
        <v>142.84592045054558</v>
      </c>
      <c r="D9" s="331">
        <f t="shared" ref="D9:N9" si="0">$C$9</f>
        <v>142.84592045054558</v>
      </c>
      <c r="E9" s="331">
        <f t="shared" si="0"/>
        <v>142.84592045054558</v>
      </c>
      <c r="F9" s="331">
        <f t="shared" si="0"/>
        <v>142.84592045054558</v>
      </c>
      <c r="G9" s="331">
        <f t="shared" si="0"/>
        <v>142.84592045054558</v>
      </c>
      <c r="H9" s="331">
        <f t="shared" si="0"/>
        <v>142.84592045054558</v>
      </c>
      <c r="I9" s="331">
        <f t="shared" si="0"/>
        <v>142.84592045054558</v>
      </c>
      <c r="J9" s="331">
        <f t="shared" si="0"/>
        <v>142.84592045054558</v>
      </c>
      <c r="K9" s="331">
        <f t="shared" si="0"/>
        <v>142.84592045054558</v>
      </c>
      <c r="L9" s="331">
        <f t="shared" si="0"/>
        <v>142.84592045054558</v>
      </c>
      <c r="M9" s="331">
        <f t="shared" si="0"/>
        <v>142.84592045054558</v>
      </c>
      <c r="N9" s="331">
        <f t="shared" si="0"/>
        <v>142.84592045054558</v>
      </c>
      <c r="O9" s="251"/>
      <c r="P9" s="71"/>
      <c r="Q9" s="240"/>
      <c r="R9" s="71"/>
      <c r="S9" s="71"/>
    </row>
    <row r="10" spans="1:19">
      <c r="A10" s="133" t="s">
        <v>370</v>
      </c>
      <c r="B10" s="159"/>
      <c r="C10" s="314">
        <f>+Labor!$H$20</f>
        <v>54.893596666864497</v>
      </c>
      <c r="D10" s="314">
        <f>+Labor!$H$20</f>
        <v>54.893596666864497</v>
      </c>
      <c r="E10" s="314">
        <f>+Labor!$H$20</f>
        <v>54.893596666864497</v>
      </c>
      <c r="F10" s="314">
        <f>+Labor!$H$20</f>
        <v>54.893596666864497</v>
      </c>
      <c r="G10" s="314">
        <f>+Labor!$H$20</f>
        <v>54.893596666864497</v>
      </c>
      <c r="H10" s="314">
        <f>+Labor!$H$20</f>
        <v>54.893596666864497</v>
      </c>
      <c r="I10" s="314">
        <f>+Labor!$H$20</f>
        <v>54.893596666864497</v>
      </c>
      <c r="J10" s="314">
        <f>+Labor!$H$20</f>
        <v>54.893596666864497</v>
      </c>
      <c r="K10" s="314">
        <f>+Labor!$H$20</f>
        <v>54.893596666864497</v>
      </c>
      <c r="L10" s="314">
        <f>+Labor!$H$20</f>
        <v>54.893596666864497</v>
      </c>
      <c r="M10" s="314">
        <f>+Labor!$H$20</f>
        <v>54.893596666864497</v>
      </c>
      <c r="N10" s="314">
        <f>+Labor!$H$20</f>
        <v>54.893596666864497</v>
      </c>
      <c r="O10" s="71"/>
      <c r="P10" s="71"/>
      <c r="Q10" s="240"/>
      <c r="R10" s="71"/>
      <c r="S10" s="71"/>
    </row>
    <row r="11" spans="1:19">
      <c r="A11" s="133" t="s">
        <v>196</v>
      </c>
      <c r="B11" s="159"/>
      <c r="C11" s="315">
        <f>+C8*C9</f>
        <v>169093.85833333331</v>
      </c>
      <c r="D11" s="315">
        <f t="shared" ref="D11:N11" si="1">+D8*D9</f>
        <v>169093.85833333331</v>
      </c>
      <c r="E11" s="315">
        <f t="shared" si="1"/>
        <v>169093.85833333331</v>
      </c>
      <c r="F11" s="315">
        <f t="shared" si="1"/>
        <v>169093.85833333331</v>
      </c>
      <c r="G11" s="315">
        <f t="shared" si="1"/>
        <v>169093.85833333331</v>
      </c>
      <c r="H11" s="315">
        <f t="shared" si="1"/>
        <v>169093.85833333331</v>
      </c>
      <c r="I11" s="315">
        <f t="shared" si="1"/>
        <v>169093.85833333331</v>
      </c>
      <c r="J11" s="315">
        <f t="shared" si="1"/>
        <v>169093.85833333331</v>
      </c>
      <c r="K11" s="315">
        <f t="shared" si="1"/>
        <v>169093.85833333331</v>
      </c>
      <c r="L11" s="315">
        <f t="shared" si="1"/>
        <v>169093.85833333331</v>
      </c>
      <c r="M11" s="315">
        <f t="shared" si="1"/>
        <v>169093.85833333331</v>
      </c>
      <c r="N11" s="315">
        <f t="shared" si="1"/>
        <v>169093.85833333331</v>
      </c>
      <c r="O11" s="252">
        <f>SUM(C11:N11)</f>
        <v>2029126.3</v>
      </c>
      <c r="P11" s="71"/>
      <c r="Q11" s="240"/>
      <c r="R11" s="71"/>
      <c r="S11" s="71"/>
    </row>
    <row r="12" spans="1:19" ht="13.5" thickBot="1">
      <c r="A12" s="134" t="s">
        <v>197</v>
      </c>
      <c r="B12" s="137"/>
      <c r="C12" s="154">
        <f t="shared" ref="C12:N12" si="2">C7*C11</f>
        <v>169093.85833333331</v>
      </c>
      <c r="D12" s="115">
        <f t="shared" si="2"/>
        <v>169093.85833333331</v>
      </c>
      <c r="E12" s="115">
        <f t="shared" si="2"/>
        <v>169093.85833333331</v>
      </c>
      <c r="F12" s="115">
        <f t="shared" si="2"/>
        <v>169093.85833333331</v>
      </c>
      <c r="G12" s="115">
        <f t="shared" si="2"/>
        <v>169093.85833333331</v>
      </c>
      <c r="H12" s="115">
        <f t="shared" si="2"/>
        <v>169093.85833333331</v>
      </c>
      <c r="I12" s="115">
        <f t="shared" si="2"/>
        <v>169093.85833333331</v>
      </c>
      <c r="J12" s="115">
        <f t="shared" si="2"/>
        <v>169093.85833333331</v>
      </c>
      <c r="K12" s="115">
        <f t="shared" si="2"/>
        <v>169093.85833333331</v>
      </c>
      <c r="L12" s="115">
        <f t="shared" si="2"/>
        <v>169093.85833333331</v>
      </c>
      <c r="M12" s="115">
        <f t="shared" si="2"/>
        <v>169093.85833333331</v>
      </c>
      <c r="N12" s="155">
        <f t="shared" si="2"/>
        <v>169093.85833333331</v>
      </c>
      <c r="O12" s="252">
        <f>SUM(C12:N12)</f>
        <v>2029126.3</v>
      </c>
      <c r="P12" s="71"/>
      <c r="Q12" s="71"/>
      <c r="R12" s="71"/>
      <c r="S12" s="71"/>
    </row>
    <row r="13" spans="1:19">
      <c r="A13" s="237"/>
      <c r="B13" s="132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71"/>
      <c r="P13" s="71"/>
      <c r="Q13" s="71"/>
      <c r="R13" s="71"/>
      <c r="S13" s="71"/>
    </row>
    <row r="14" spans="1:19" ht="13.5" hidden="1" thickBot="1">
      <c r="A14" s="226"/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</row>
    <row r="15" spans="1:19" s="71" customFormat="1" ht="30.75" hidden="1" thickBot="1">
      <c r="A15" s="135" t="s">
        <v>180</v>
      </c>
      <c r="B15" s="160"/>
      <c r="C15" s="361" t="s">
        <v>198</v>
      </c>
      <c r="D15" s="362"/>
      <c r="E15" s="362"/>
      <c r="F15" s="362"/>
      <c r="G15" s="362"/>
      <c r="H15" s="362"/>
      <c r="I15" s="362"/>
      <c r="J15" s="362"/>
      <c r="K15" s="362"/>
      <c r="L15" s="362"/>
      <c r="M15" s="362"/>
      <c r="N15" s="363"/>
    </row>
    <row r="16" spans="1:19" s="71" customFormat="1" hidden="1">
      <c r="A16" s="133" t="s">
        <v>173</v>
      </c>
      <c r="B16" s="159"/>
      <c r="C16" s="156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57"/>
    </row>
    <row r="17" spans="1:328" s="71" customFormat="1" hidden="1">
      <c r="A17" s="133" t="s">
        <v>174</v>
      </c>
      <c r="B17" s="159"/>
      <c r="C17" s="138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39"/>
    </row>
    <row r="18" spans="1:328" s="71" customFormat="1" hidden="1">
      <c r="A18" s="133" t="s">
        <v>176</v>
      </c>
      <c r="B18" s="159"/>
      <c r="C18" s="138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39"/>
    </row>
    <row r="19" spans="1:328" s="71" customFormat="1" hidden="1">
      <c r="A19" s="133" t="s">
        <v>177</v>
      </c>
      <c r="B19" s="159"/>
      <c r="C19" s="140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41"/>
    </row>
    <row r="20" spans="1:328" s="72" customFormat="1" ht="12.75" hidden="1" customHeight="1">
      <c r="A20" s="133" t="s">
        <v>193</v>
      </c>
      <c r="B20" s="159"/>
      <c r="C20" s="142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43"/>
      <c r="O20" s="224"/>
      <c r="P20" s="224"/>
      <c r="Q20" s="202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4"/>
      <c r="BA20" s="224"/>
      <c r="BB20" s="224"/>
      <c r="BC20" s="224"/>
      <c r="BD20" s="224"/>
      <c r="BE20" s="224"/>
      <c r="BF20" s="224"/>
      <c r="BG20" s="224"/>
      <c r="BH20" s="224"/>
      <c r="BI20" s="224"/>
      <c r="BJ20" s="224"/>
      <c r="BK20" s="224"/>
      <c r="BL20" s="224"/>
      <c r="BM20" s="224"/>
      <c r="BN20" s="224"/>
      <c r="BO20" s="224"/>
      <c r="BP20" s="224"/>
      <c r="BQ20" s="224"/>
      <c r="BR20" s="224"/>
      <c r="BS20" s="224"/>
      <c r="BT20" s="224"/>
      <c r="BU20" s="224"/>
      <c r="BV20" s="224"/>
      <c r="BW20" s="224"/>
      <c r="BX20" s="224"/>
      <c r="BY20" s="224"/>
      <c r="BZ20" s="224"/>
      <c r="CA20" s="224"/>
      <c r="CB20" s="224"/>
      <c r="CC20" s="224"/>
      <c r="CD20" s="224"/>
      <c r="CE20" s="224"/>
      <c r="CF20" s="224"/>
      <c r="CG20" s="224"/>
      <c r="CH20" s="224"/>
      <c r="CI20" s="224"/>
      <c r="CJ20" s="224"/>
      <c r="CK20" s="224"/>
      <c r="CL20" s="224"/>
      <c r="CM20" s="224"/>
      <c r="CN20" s="224"/>
      <c r="CO20" s="224"/>
      <c r="CP20" s="224"/>
      <c r="CQ20" s="224"/>
      <c r="CR20" s="224"/>
      <c r="CS20" s="224"/>
      <c r="CT20" s="224"/>
      <c r="CU20" s="224"/>
      <c r="CV20" s="224"/>
      <c r="CW20" s="224"/>
      <c r="CX20" s="224"/>
      <c r="CY20" s="224"/>
      <c r="CZ20" s="224"/>
      <c r="DA20" s="224"/>
      <c r="DB20" s="224"/>
      <c r="DC20" s="224"/>
      <c r="DD20" s="224"/>
      <c r="DE20" s="224"/>
      <c r="DF20" s="224"/>
      <c r="DG20" s="224"/>
      <c r="DH20" s="224"/>
      <c r="DI20" s="224"/>
      <c r="DJ20" s="224"/>
      <c r="DK20" s="224"/>
      <c r="DL20" s="224"/>
      <c r="DM20" s="224"/>
      <c r="DN20" s="224"/>
      <c r="DO20" s="224"/>
      <c r="DP20" s="224"/>
      <c r="DQ20" s="224"/>
      <c r="DR20" s="224"/>
      <c r="DS20" s="224"/>
      <c r="DT20" s="224"/>
      <c r="DU20" s="224"/>
      <c r="DV20" s="224"/>
      <c r="DW20" s="224"/>
      <c r="DX20" s="224"/>
      <c r="DY20" s="224"/>
      <c r="DZ20" s="224"/>
      <c r="EA20" s="224"/>
      <c r="EB20" s="224"/>
      <c r="EC20" s="224"/>
      <c r="ED20" s="224"/>
      <c r="EE20" s="224"/>
      <c r="EF20" s="224"/>
      <c r="EG20" s="224"/>
      <c r="EH20" s="224"/>
      <c r="EI20" s="224"/>
      <c r="EJ20" s="224"/>
      <c r="EK20" s="224"/>
      <c r="EL20" s="224"/>
      <c r="EM20" s="224"/>
      <c r="EN20" s="224"/>
      <c r="EO20" s="224"/>
      <c r="EP20" s="224"/>
      <c r="EQ20" s="224"/>
      <c r="ER20" s="224"/>
      <c r="ES20" s="224"/>
      <c r="ET20" s="224"/>
      <c r="EU20" s="224"/>
      <c r="EV20" s="224"/>
      <c r="EW20" s="224"/>
      <c r="EX20" s="224"/>
      <c r="EY20" s="224"/>
      <c r="EZ20" s="224"/>
      <c r="FA20" s="224"/>
      <c r="FB20" s="224"/>
      <c r="FC20" s="224"/>
      <c r="FD20" s="224"/>
      <c r="FE20" s="224"/>
      <c r="FF20" s="224"/>
      <c r="FG20" s="224"/>
      <c r="FH20" s="224"/>
      <c r="FI20" s="224"/>
      <c r="FJ20" s="224"/>
      <c r="FK20" s="224"/>
      <c r="FL20" s="224"/>
      <c r="FM20" s="224"/>
      <c r="FN20" s="224"/>
      <c r="FO20" s="224"/>
      <c r="FP20" s="224"/>
      <c r="FQ20" s="224"/>
      <c r="FR20" s="224"/>
      <c r="FS20" s="224"/>
      <c r="FT20" s="224"/>
      <c r="FU20" s="224"/>
      <c r="FV20" s="224"/>
      <c r="FW20" s="224"/>
      <c r="FX20" s="224"/>
      <c r="FY20" s="224"/>
      <c r="FZ20" s="224"/>
      <c r="GA20" s="224"/>
      <c r="GB20" s="224"/>
      <c r="GC20" s="224"/>
      <c r="GD20" s="224"/>
      <c r="GE20" s="224"/>
      <c r="GF20" s="224"/>
      <c r="GG20" s="224"/>
      <c r="GH20" s="224"/>
      <c r="GI20" s="224"/>
      <c r="GJ20" s="224"/>
      <c r="GK20" s="224"/>
      <c r="GL20" s="224"/>
      <c r="GM20" s="224"/>
      <c r="GN20" s="224"/>
      <c r="GO20" s="224"/>
      <c r="GP20" s="224"/>
      <c r="GQ20" s="224"/>
      <c r="GR20" s="224"/>
      <c r="GS20" s="224"/>
      <c r="GT20" s="224"/>
      <c r="GU20" s="224"/>
      <c r="GV20" s="224"/>
      <c r="GW20" s="224"/>
      <c r="GX20" s="224"/>
      <c r="GY20" s="224"/>
      <c r="GZ20" s="224"/>
      <c r="HA20" s="224"/>
      <c r="HB20" s="224"/>
      <c r="HC20" s="224"/>
      <c r="HD20" s="224"/>
      <c r="HE20" s="224"/>
      <c r="HF20" s="224"/>
      <c r="HG20" s="224"/>
      <c r="HH20" s="224"/>
      <c r="HI20" s="224"/>
      <c r="HJ20" s="224"/>
      <c r="HK20" s="224"/>
      <c r="HL20" s="224"/>
      <c r="HM20" s="224"/>
      <c r="HN20" s="224"/>
      <c r="HO20" s="224"/>
      <c r="HP20" s="224"/>
      <c r="HQ20" s="224"/>
      <c r="HR20" s="224"/>
      <c r="HS20" s="224"/>
      <c r="HT20" s="224"/>
      <c r="HU20" s="224"/>
      <c r="HV20" s="224"/>
      <c r="HW20" s="224"/>
      <c r="HX20" s="224"/>
      <c r="HY20" s="224"/>
      <c r="HZ20" s="224"/>
      <c r="IA20" s="224"/>
      <c r="IB20" s="224"/>
      <c r="IC20" s="224"/>
      <c r="ID20" s="224"/>
      <c r="IE20" s="224"/>
      <c r="IF20" s="224"/>
      <c r="IG20" s="224"/>
      <c r="IH20" s="224"/>
      <c r="II20" s="224"/>
      <c r="IJ20" s="224"/>
      <c r="IK20" s="224"/>
      <c r="IL20" s="224"/>
      <c r="IM20" s="224"/>
      <c r="IN20" s="224"/>
      <c r="IO20" s="224"/>
      <c r="IP20" s="224"/>
      <c r="IQ20" s="224"/>
      <c r="IR20" s="224"/>
      <c r="IS20" s="224"/>
      <c r="IT20" s="224"/>
      <c r="IU20" s="224"/>
      <c r="IV20" s="224"/>
      <c r="IW20" s="224"/>
      <c r="IX20" s="224"/>
      <c r="IY20" s="224"/>
      <c r="IZ20" s="224"/>
      <c r="JA20" s="224"/>
      <c r="JB20" s="224"/>
      <c r="JC20" s="224"/>
      <c r="JD20" s="224"/>
      <c r="JE20" s="224"/>
      <c r="JF20" s="224"/>
      <c r="JG20" s="224"/>
      <c r="JH20" s="224"/>
      <c r="JI20" s="224"/>
      <c r="JJ20" s="224"/>
      <c r="JK20" s="224"/>
      <c r="JL20" s="224"/>
      <c r="JM20" s="224"/>
      <c r="JN20" s="224"/>
      <c r="JO20" s="224"/>
      <c r="JP20" s="224"/>
      <c r="JQ20" s="224"/>
      <c r="JR20" s="224"/>
      <c r="JS20" s="224"/>
      <c r="JT20" s="224"/>
      <c r="JU20" s="224"/>
      <c r="JV20" s="224"/>
      <c r="JW20" s="224"/>
      <c r="JX20" s="224"/>
      <c r="JY20" s="224"/>
      <c r="JZ20" s="224"/>
      <c r="KA20" s="224"/>
      <c r="KB20" s="224"/>
      <c r="KC20" s="224"/>
      <c r="KD20" s="224"/>
      <c r="KE20" s="224"/>
      <c r="KF20" s="224"/>
      <c r="KG20" s="224"/>
      <c r="KH20" s="224"/>
      <c r="KI20" s="224"/>
      <c r="KJ20" s="224"/>
      <c r="KK20" s="224"/>
      <c r="KL20" s="224"/>
      <c r="KM20" s="224"/>
      <c r="KN20" s="224"/>
      <c r="KO20" s="224"/>
      <c r="KP20" s="224"/>
      <c r="KQ20" s="224"/>
      <c r="KR20" s="224"/>
      <c r="KS20" s="224"/>
      <c r="KT20" s="224"/>
      <c r="KU20" s="224"/>
      <c r="KV20" s="224"/>
      <c r="KW20" s="224"/>
      <c r="KX20" s="224"/>
      <c r="KY20" s="224"/>
      <c r="KZ20" s="224"/>
      <c r="LA20" s="224"/>
      <c r="LB20" s="224"/>
      <c r="LC20" s="224"/>
      <c r="LD20" s="224"/>
      <c r="LE20" s="224"/>
      <c r="LF20" s="224"/>
      <c r="LG20" s="224"/>
      <c r="LH20" s="224"/>
      <c r="LI20" s="224"/>
      <c r="LJ20" s="224"/>
      <c r="LK20" s="224"/>
      <c r="LL20" s="224"/>
      <c r="LM20" s="224"/>
      <c r="LN20" s="224"/>
      <c r="LO20" s="224"/>
      <c r="LP20" s="224"/>
    </row>
    <row r="21" spans="1:328" s="71" customFormat="1" hidden="1">
      <c r="A21" s="133" t="s">
        <v>150</v>
      </c>
      <c r="B21" s="159"/>
      <c r="C21" s="140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41"/>
    </row>
    <row r="22" spans="1:328" s="71" customFormat="1" hidden="1">
      <c r="A22" s="133" t="s">
        <v>151</v>
      </c>
      <c r="B22" s="159"/>
      <c r="C22" s="144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45"/>
    </row>
    <row r="23" spans="1:328" s="71" customFormat="1" hidden="1">
      <c r="A23" s="133" t="s">
        <v>152</v>
      </c>
      <c r="B23" s="159"/>
      <c r="C23" s="146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47"/>
    </row>
    <row r="24" spans="1:328" s="71" customFormat="1" hidden="1">
      <c r="A24" s="133" t="s">
        <v>153</v>
      </c>
      <c r="B24" s="159"/>
      <c r="C24" s="148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49"/>
    </row>
    <row r="25" spans="1:328" s="71" customFormat="1" hidden="1">
      <c r="A25" s="133" t="s">
        <v>143</v>
      </c>
      <c r="B25" s="159"/>
      <c r="C25" s="15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51"/>
    </row>
    <row r="26" spans="1:328" s="71" customFormat="1" hidden="1">
      <c r="A26" s="133" t="s">
        <v>196</v>
      </c>
      <c r="B26" s="159"/>
      <c r="C26" s="152">
        <f t="shared" ref="C26:N26" si="3">IF(C24="",0,C23*C24*C25)</f>
        <v>0</v>
      </c>
      <c r="D26" s="127">
        <f t="shared" si="3"/>
        <v>0</v>
      </c>
      <c r="E26" s="127">
        <f t="shared" si="3"/>
        <v>0</v>
      </c>
      <c r="F26" s="127">
        <f t="shared" si="3"/>
        <v>0</v>
      </c>
      <c r="G26" s="127">
        <f t="shared" si="3"/>
        <v>0</v>
      </c>
      <c r="H26" s="127">
        <f t="shared" si="3"/>
        <v>0</v>
      </c>
      <c r="I26" s="127">
        <f t="shared" si="3"/>
        <v>0</v>
      </c>
      <c r="J26" s="127">
        <f t="shared" si="3"/>
        <v>0</v>
      </c>
      <c r="K26" s="127">
        <f t="shared" si="3"/>
        <v>0</v>
      </c>
      <c r="L26" s="127">
        <f t="shared" si="3"/>
        <v>0</v>
      </c>
      <c r="M26" s="127">
        <f t="shared" si="3"/>
        <v>0</v>
      </c>
      <c r="N26" s="153">
        <f t="shared" si="3"/>
        <v>0</v>
      </c>
    </row>
    <row r="27" spans="1:328" s="71" customFormat="1" ht="13.5" hidden="1" thickBot="1">
      <c r="A27" s="134" t="s">
        <v>197</v>
      </c>
      <c r="B27" s="137"/>
      <c r="C27" s="154">
        <f t="shared" ref="C27:N27" si="4">C16*C26</f>
        <v>0</v>
      </c>
      <c r="D27" s="115">
        <f t="shared" si="4"/>
        <v>0</v>
      </c>
      <c r="E27" s="115">
        <f t="shared" si="4"/>
        <v>0</v>
      </c>
      <c r="F27" s="115">
        <f t="shared" si="4"/>
        <v>0</v>
      </c>
      <c r="G27" s="115">
        <f t="shared" si="4"/>
        <v>0</v>
      </c>
      <c r="H27" s="115">
        <f t="shared" si="4"/>
        <v>0</v>
      </c>
      <c r="I27" s="115">
        <f t="shared" si="4"/>
        <v>0</v>
      </c>
      <c r="J27" s="115">
        <f t="shared" si="4"/>
        <v>0</v>
      </c>
      <c r="K27" s="115">
        <f t="shared" si="4"/>
        <v>0</v>
      </c>
      <c r="L27" s="115">
        <f t="shared" si="4"/>
        <v>0</v>
      </c>
      <c r="M27" s="115">
        <f t="shared" si="4"/>
        <v>0</v>
      </c>
      <c r="N27" s="155">
        <f t="shared" si="4"/>
        <v>0</v>
      </c>
    </row>
    <row r="28" spans="1:328" s="71" customFormat="1" hidden="1">
      <c r="A28" s="237"/>
      <c r="B28" s="132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</row>
    <row r="29" spans="1:328" s="71" customFormat="1" ht="13.5" hidden="1" thickBot="1">
      <c r="A29" s="241"/>
      <c r="B29" s="242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</row>
    <row r="30" spans="1:328" s="71" customFormat="1" ht="30.75" hidden="1" thickBot="1">
      <c r="A30" s="135" t="s">
        <v>180</v>
      </c>
      <c r="B30" s="160"/>
      <c r="C30" s="361" t="s">
        <v>198</v>
      </c>
      <c r="D30" s="362"/>
      <c r="E30" s="362"/>
      <c r="F30" s="362"/>
      <c r="G30" s="362"/>
      <c r="H30" s="362"/>
      <c r="I30" s="362"/>
      <c r="J30" s="362"/>
      <c r="K30" s="362"/>
      <c r="L30" s="362"/>
      <c r="M30" s="362"/>
      <c r="N30" s="363"/>
    </row>
    <row r="31" spans="1:328" s="71" customFormat="1" hidden="1">
      <c r="A31" s="133" t="s">
        <v>173</v>
      </c>
      <c r="B31" s="159"/>
      <c r="C31" s="156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57"/>
    </row>
    <row r="32" spans="1:328" s="71" customFormat="1" hidden="1">
      <c r="A32" s="133" t="s">
        <v>174</v>
      </c>
      <c r="B32" s="159"/>
      <c r="C32" s="138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39"/>
    </row>
    <row r="33" spans="1:328" s="71" customFormat="1" hidden="1">
      <c r="A33" s="133" t="s">
        <v>176</v>
      </c>
      <c r="B33" s="159"/>
      <c r="C33" s="138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39"/>
    </row>
    <row r="34" spans="1:328" s="71" customFormat="1" hidden="1">
      <c r="A34" s="133" t="s">
        <v>177</v>
      </c>
      <c r="B34" s="159"/>
      <c r="C34" s="140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41"/>
    </row>
    <row r="35" spans="1:328" s="72" customFormat="1" ht="12.75" hidden="1" customHeight="1">
      <c r="A35" s="133" t="s">
        <v>193</v>
      </c>
      <c r="B35" s="159"/>
      <c r="C35" s="142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43"/>
      <c r="O35" s="224"/>
      <c r="P35" s="224"/>
      <c r="Q35" s="202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  <c r="DL35" s="224"/>
      <c r="DM35" s="224"/>
      <c r="DN35" s="224"/>
      <c r="DO35" s="224"/>
      <c r="DP35" s="224"/>
      <c r="DQ35" s="224"/>
      <c r="DR35" s="224"/>
      <c r="DS35" s="224"/>
      <c r="DT35" s="224"/>
      <c r="DU35" s="224"/>
      <c r="DV35" s="224"/>
      <c r="DW35" s="224"/>
      <c r="DX35" s="224"/>
      <c r="DY35" s="224"/>
      <c r="DZ35" s="224"/>
      <c r="EA35" s="224"/>
      <c r="EB35" s="224"/>
      <c r="EC35" s="224"/>
      <c r="ED35" s="224"/>
      <c r="EE35" s="224"/>
      <c r="EF35" s="224"/>
      <c r="EG35" s="224"/>
      <c r="EH35" s="224"/>
      <c r="EI35" s="224"/>
      <c r="EJ35" s="224"/>
      <c r="EK35" s="224"/>
      <c r="EL35" s="224"/>
      <c r="EM35" s="224"/>
      <c r="EN35" s="224"/>
      <c r="EO35" s="224"/>
      <c r="EP35" s="224"/>
      <c r="EQ35" s="224"/>
      <c r="ER35" s="224"/>
      <c r="ES35" s="224"/>
      <c r="ET35" s="224"/>
      <c r="EU35" s="224"/>
      <c r="EV35" s="224"/>
      <c r="EW35" s="224"/>
      <c r="EX35" s="224"/>
      <c r="EY35" s="224"/>
      <c r="EZ35" s="224"/>
      <c r="FA35" s="224"/>
      <c r="FB35" s="224"/>
      <c r="FC35" s="224"/>
      <c r="FD35" s="224"/>
      <c r="FE35" s="224"/>
      <c r="FF35" s="224"/>
      <c r="FG35" s="224"/>
      <c r="FH35" s="224"/>
      <c r="FI35" s="224"/>
      <c r="FJ35" s="224"/>
      <c r="FK35" s="224"/>
      <c r="FL35" s="224"/>
      <c r="FM35" s="224"/>
      <c r="FN35" s="224"/>
      <c r="FO35" s="224"/>
      <c r="FP35" s="224"/>
      <c r="FQ35" s="224"/>
      <c r="FR35" s="224"/>
      <c r="FS35" s="224"/>
      <c r="FT35" s="224"/>
      <c r="FU35" s="224"/>
      <c r="FV35" s="224"/>
      <c r="FW35" s="224"/>
      <c r="FX35" s="224"/>
      <c r="FY35" s="224"/>
      <c r="FZ35" s="224"/>
      <c r="GA35" s="224"/>
      <c r="GB35" s="224"/>
      <c r="GC35" s="224"/>
      <c r="GD35" s="224"/>
      <c r="GE35" s="224"/>
      <c r="GF35" s="224"/>
      <c r="GG35" s="224"/>
      <c r="GH35" s="224"/>
      <c r="GI35" s="224"/>
      <c r="GJ35" s="224"/>
      <c r="GK35" s="224"/>
      <c r="GL35" s="224"/>
      <c r="GM35" s="224"/>
      <c r="GN35" s="224"/>
      <c r="GO35" s="224"/>
      <c r="GP35" s="224"/>
      <c r="GQ35" s="224"/>
      <c r="GR35" s="224"/>
      <c r="GS35" s="224"/>
      <c r="GT35" s="224"/>
      <c r="GU35" s="224"/>
      <c r="GV35" s="224"/>
      <c r="GW35" s="224"/>
      <c r="GX35" s="224"/>
      <c r="GY35" s="224"/>
      <c r="GZ35" s="224"/>
      <c r="HA35" s="224"/>
      <c r="HB35" s="224"/>
      <c r="HC35" s="224"/>
      <c r="HD35" s="224"/>
      <c r="HE35" s="224"/>
      <c r="HF35" s="224"/>
      <c r="HG35" s="224"/>
      <c r="HH35" s="224"/>
      <c r="HI35" s="224"/>
      <c r="HJ35" s="224"/>
      <c r="HK35" s="224"/>
      <c r="HL35" s="224"/>
      <c r="HM35" s="224"/>
      <c r="HN35" s="224"/>
      <c r="HO35" s="224"/>
      <c r="HP35" s="224"/>
      <c r="HQ35" s="224"/>
      <c r="HR35" s="224"/>
      <c r="HS35" s="224"/>
      <c r="HT35" s="224"/>
      <c r="HU35" s="224"/>
      <c r="HV35" s="224"/>
      <c r="HW35" s="224"/>
      <c r="HX35" s="224"/>
      <c r="HY35" s="224"/>
      <c r="HZ35" s="224"/>
      <c r="IA35" s="224"/>
      <c r="IB35" s="224"/>
      <c r="IC35" s="224"/>
      <c r="ID35" s="224"/>
      <c r="IE35" s="224"/>
      <c r="IF35" s="224"/>
      <c r="IG35" s="224"/>
      <c r="IH35" s="224"/>
      <c r="II35" s="224"/>
      <c r="IJ35" s="224"/>
      <c r="IK35" s="224"/>
      <c r="IL35" s="224"/>
      <c r="IM35" s="224"/>
      <c r="IN35" s="224"/>
      <c r="IO35" s="224"/>
      <c r="IP35" s="224"/>
      <c r="IQ35" s="224"/>
      <c r="IR35" s="224"/>
      <c r="IS35" s="224"/>
      <c r="IT35" s="224"/>
      <c r="IU35" s="224"/>
      <c r="IV35" s="224"/>
      <c r="IW35" s="224"/>
      <c r="IX35" s="224"/>
      <c r="IY35" s="224"/>
      <c r="IZ35" s="224"/>
      <c r="JA35" s="224"/>
      <c r="JB35" s="224"/>
      <c r="JC35" s="224"/>
      <c r="JD35" s="224"/>
      <c r="JE35" s="224"/>
      <c r="JF35" s="224"/>
      <c r="JG35" s="224"/>
      <c r="JH35" s="224"/>
      <c r="JI35" s="224"/>
      <c r="JJ35" s="224"/>
      <c r="JK35" s="224"/>
      <c r="JL35" s="224"/>
      <c r="JM35" s="224"/>
      <c r="JN35" s="224"/>
      <c r="JO35" s="224"/>
      <c r="JP35" s="224"/>
      <c r="JQ35" s="224"/>
      <c r="JR35" s="224"/>
      <c r="JS35" s="224"/>
      <c r="JT35" s="224"/>
      <c r="JU35" s="224"/>
      <c r="JV35" s="224"/>
      <c r="JW35" s="224"/>
      <c r="JX35" s="224"/>
      <c r="JY35" s="224"/>
      <c r="JZ35" s="224"/>
      <c r="KA35" s="224"/>
      <c r="KB35" s="224"/>
      <c r="KC35" s="224"/>
      <c r="KD35" s="224"/>
      <c r="KE35" s="224"/>
      <c r="KF35" s="224"/>
      <c r="KG35" s="224"/>
      <c r="KH35" s="224"/>
      <c r="KI35" s="224"/>
      <c r="KJ35" s="224"/>
      <c r="KK35" s="224"/>
      <c r="KL35" s="224"/>
      <c r="KM35" s="224"/>
      <c r="KN35" s="224"/>
      <c r="KO35" s="224"/>
      <c r="KP35" s="224"/>
      <c r="KQ35" s="224"/>
      <c r="KR35" s="224"/>
      <c r="KS35" s="224"/>
      <c r="KT35" s="224"/>
      <c r="KU35" s="224"/>
      <c r="KV35" s="224"/>
      <c r="KW35" s="224"/>
      <c r="KX35" s="224"/>
      <c r="KY35" s="224"/>
      <c r="KZ35" s="224"/>
      <c r="LA35" s="224"/>
      <c r="LB35" s="224"/>
      <c r="LC35" s="224"/>
      <c r="LD35" s="224"/>
      <c r="LE35" s="224"/>
      <c r="LF35" s="224"/>
      <c r="LG35" s="224"/>
      <c r="LH35" s="224"/>
      <c r="LI35" s="224"/>
      <c r="LJ35" s="224"/>
      <c r="LK35" s="224"/>
      <c r="LL35" s="224"/>
      <c r="LM35" s="224"/>
      <c r="LN35" s="224"/>
      <c r="LO35" s="224"/>
      <c r="LP35" s="224"/>
    </row>
    <row r="36" spans="1:328" s="71" customFormat="1" hidden="1">
      <c r="A36" s="133" t="s">
        <v>150</v>
      </c>
      <c r="B36" s="159"/>
      <c r="C36" s="140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41"/>
    </row>
    <row r="37" spans="1:328" s="71" customFormat="1" hidden="1">
      <c r="A37" s="133" t="s">
        <v>151</v>
      </c>
      <c r="B37" s="159"/>
      <c r="C37" s="144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45"/>
    </row>
    <row r="38" spans="1:328" s="71" customFormat="1" hidden="1">
      <c r="A38" s="133" t="s">
        <v>152</v>
      </c>
      <c r="B38" s="159"/>
      <c r="C38" s="146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47"/>
    </row>
    <row r="39" spans="1:328" s="71" customFormat="1" hidden="1">
      <c r="A39" s="133" t="s">
        <v>153</v>
      </c>
      <c r="B39" s="159"/>
      <c r="C39" s="148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49"/>
    </row>
    <row r="40" spans="1:328" s="71" customFormat="1" hidden="1">
      <c r="A40" s="133" t="s">
        <v>143</v>
      </c>
      <c r="B40" s="159"/>
      <c r="C40" s="15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51"/>
    </row>
    <row r="41" spans="1:328" s="71" customFormat="1" hidden="1">
      <c r="A41" s="133" t="s">
        <v>196</v>
      </c>
      <c r="B41" s="159"/>
      <c r="C41" s="158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4"/>
    </row>
    <row r="42" spans="1:328" s="71" customFormat="1" ht="13.5" hidden="1" thickBot="1">
      <c r="A42" s="134" t="s">
        <v>197</v>
      </c>
      <c r="B42" s="137"/>
      <c r="C42" s="154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55"/>
    </row>
    <row r="43" spans="1:328" s="71" customFormat="1" hidden="1">
      <c r="A43" s="238"/>
      <c r="B43" s="132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</row>
    <row r="44" spans="1:328" s="71" customFormat="1" ht="13.5" hidden="1" thickBot="1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</row>
    <row r="45" spans="1:328" s="71" customFormat="1" ht="30" hidden="1">
      <c r="A45" s="135" t="s">
        <v>180</v>
      </c>
      <c r="B45" s="160"/>
      <c r="C45" s="364" t="s">
        <v>198</v>
      </c>
      <c r="D45" s="365"/>
      <c r="E45" s="365"/>
      <c r="F45" s="365"/>
      <c r="G45" s="365"/>
      <c r="H45" s="365"/>
      <c r="I45" s="365"/>
      <c r="J45" s="365"/>
      <c r="K45" s="365"/>
      <c r="L45" s="365"/>
      <c r="M45" s="365"/>
      <c r="N45" s="366"/>
    </row>
    <row r="46" spans="1:328" s="71" customFormat="1" hidden="1">
      <c r="A46" s="133" t="s">
        <v>173</v>
      </c>
      <c r="B46" s="159"/>
      <c r="C46" s="156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57"/>
    </row>
    <row r="47" spans="1:328" s="71" customFormat="1" hidden="1">
      <c r="A47" s="133" t="s">
        <v>174</v>
      </c>
      <c r="B47" s="159"/>
      <c r="C47" s="138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39"/>
    </row>
    <row r="48" spans="1:328" s="71" customFormat="1" hidden="1">
      <c r="A48" s="133" t="s">
        <v>176</v>
      </c>
      <c r="B48" s="159"/>
      <c r="C48" s="138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39"/>
    </row>
    <row r="49" spans="1:328" s="71" customFormat="1" hidden="1">
      <c r="A49" s="133" t="s">
        <v>177</v>
      </c>
      <c r="B49" s="159"/>
      <c r="C49" s="140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41"/>
    </row>
    <row r="50" spans="1:328" s="72" customFormat="1" ht="12.75" hidden="1" customHeight="1">
      <c r="A50" s="133" t="s">
        <v>193</v>
      </c>
      <c r="B50" s="159"/>
      <c r="C50" s="142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43"/>
      <c r="O50" s="224"/>
      <c r="P50" s="224"/>
      <c r="Q50" s="202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  <c r="AD50" s="224"/>
      <c r="AE50" s="224"/>
      <c r="AF50" s="224"/>
      <c r="AG50" s="224"/>
      <c r="AH50" s="224"/>
      <c r="AI50" s="224"/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24"/>
      <c r="CH50" s="224"/>
      <c r="CI50" s="224"/>
      <c r="CJ50" s="224"/>
      <c r="CK50" s="224"/>
      <c r="CL50" s="224"/>
      <c r="CM50" s="224"/>
      <c r="CN50" s="224"/>
      <c r="CO50" s="224"/>
      <c r="CP50" s="224"/>
      <c r="CQ50" s="224"/>
      <c r="CR50" s="224"/>
      <c r="CS50" s="224"/>
      <c r="CT50" s="224"/>
      <c r="CU50" s="224"/>
      <c r="CV50" s="224"/>
      <c r="CW50" s="224"/>
      <c r="CX50" s="224"/>
      <c r="CY50" s="224"/>
      <c r="CZ50" s="224"/>
      <c r="DA50" s="224"/>
      <c r="DB50" s="224"/>
      <c r="DC50" s="224"/>
      <c r="DD50" s="224"/>
      <c r="DE50" s="224"/>
      <c r="DF50" s="224"/>
      <c r="DG50" s="224"/>
      <c r="DH50" s="224"/>
      <c r="DI50" s="224"/>
      <c r="DJ50" s="224"/>
      <c r="DK50" s="224"/>
      <c r="DL50" s="224"/>
      <c r="DM50" s="224"/>
      <c r="DN50" s="224"/>
      <c r="DO50" s="224"/>
      <c r="DP50" s="224"/>
      <c r="DQ50" s="224"/>
      <c r="DR50" s="224"/>
      <c r="DS50" s="224"/>
      <c r="DT50" s="224"/>
      <c r="DU50" s="224"/>
      <c r="DV50" s="224"/>
      <c r="DW50" s="224"/>
      <c r="DX50" s="224"/>
      <c r="DY50" s="224"/>
      <c r="DZ50" s="224"/>
      <c r="EA50" s="224"/>
      <c r="EB50" s="224"/>
      <c r="EC50" s="224"/>
      <c r="ED50" s="224"/>
      <c r="EE50" s="224"/>
      <c r="EF50" s="224"/>
      <c r="EG50" s="224"/>
      <c r="EH50" s="224"/>
      <c r="EI50" s="224"/>
      <c r="EJ50" s="224"/>
      <c r="EK50" s="224"/>
      <c r="EL50" s="224"/>
      <c r="EM50" s="224"/>
      <c r="EN50" s="224"/>
      <c r="EO50" s="224"/>
      <c r="EP50" s="224"/>
      <c r="EQ50" s="224"/>
      <c r="ER50" s="224"/>
      <c r="ES50" s="224"/>
      <c r="ET50" s="224"/>
      <c r="EU50" s="224"/>
      <c r="EV50" s="224"/>
      <c r="EW50" s="224"/>
      <c r="EX50" s="224"/>
      <c r="EY50" s="224"/>
      <c r="EZ50" s="224"/>
      <c r="FA50" s="224"/>
      <c r="FB50" s="224"/>
      <c r="FC50" s="224"/>
      <c r="FD50" s="224"/>
      <c r="FE50" s="224"/>
      <c r="FF50" s="224"/>
      <c r="FG50" s="224"/>
      <c r="FH50" s="224"/>
      <c r="FI50" s="224"/>
      <c r="FJ50" s="224"/>
      <c r="FK50" s="224"/>
      <c r="FL50" s="224"/>
      <c r="FM50" s="224"/>
      <c r="FN50" s="224"/>
      <c r="FO50" s="224"/>
      <c r="FP50" s="224"/>
      <c r="FQ50" s="224"/>
      <c r="FR50" s="224"/>
      <c r="FS50" s="224"/>
      <c r="FT50" s="224"/>
      <c r="FU50" s="224"/>
      <c r="FV50" s="224"/>
      <c r="FW50" s="224"/>
      <c r="FX50" s="224"/>
      <c r="FY50" s="224"/>
      <c r="FZ50" s="224"/>
      <c r="GA50" s="224"/>
      <c r="GB50" s="224"/>
      <c r="GC50" s="224"/>
      <c r="GD50" s="224"/>
      <c r="GE50" s="224"/>
      <c r="GF50" s="224"/>
      <c r="GG50" s="224"/>
      <c r="GH50" s="224"/>
      <c r="GI50" s="224"/>
      <c r="GJ50" s="224"/>
      <c r="GK50" s="224"/>
      <c r="GL50" s="224"/>
      <c r="GM50" s="224"/>
      <c r="GN50" s="224"/>
      <c r="GO50" s="224"/>
      <c r="GP50" s="224"/>
      <c r="GQ50" s="224"/>
      <c r="GR50" s="224"/>
      <c r="GS50" s="224"/>
      <c r="GT50" s="224"/>
      <c r="GU50" s="224"/>
      <c r="GV50" s="224"/>
      <c r="GW50" s="224"/>
      <c r="GX50" s="224"/>
      <c r="GY50" s="224"/>
      <c r="GZ50" s="224"/>
      <c r="HA50" s="224"/>
      <c r="HB50" s="224"/>
      <c r="HC50" s="224"/>
      <c r="HD50" s="224"/>
      <c r="HE50" s="224"/>
      <c r="HF50" s="224"/>
      <c r="HG50" s="224"/>
      <c r="HH50" s="224"/>
      <c r="HI50" s="224"/>
      <c r="HJ50" s="224"/>
      <c r="HK50" s="224"/>
      <c r="HL50" s="224"/>
      <c r="HM50" s="224"/>
      <c r="HN50" s="224"/>
      <c r="HO50" s="224"/>
      <c r="HP50" s="224"/>
      <c r="HQ50" s="224"/>
      <c r="HR50" s="224"/>
      <c r="HS50" s="224"/>
      <c r="HT50" s="224"/>
      <c r="HU50" s="224"/>
      <c r="HV50" s="224"/>
      <c r="HW50" s="224"/>
      <c r="HX50" s="224"/>
      <c r="HY50" s="224"/>
      <c r="HZ50" s="224"/>
      <c r="IA50" s="224"/>
      <c r="IB50" s="224"/>
      <c r="IC50" s="224"/>
      <c r="ID50" s="224"/>
      <c r="IE50" s="224"/>
      <c r="IF50" s="224"/>
      <c r="IG50" s="224"/>
      <c r="IH50" s="224"/>
      <c r="II50" s="224"/>
      <c r="IJ50" s="224"/>
      <c r="IK50" s="224"/>
      <c r="IL50" s="224"/>
      <c r="IM50" s="224"/>
      <c r="IN50" s="224"/>
      <c r="IO50" s="224"/>
      <c r="IP50" s="224"/>
      <c r="IQ50" s="224"/>
      <c r="IR50" s="224"/>
      <c r="IS50" s="224"/>
      <c r="IT50" s="224"/>
      <c r="IU50" s="224"/>
      <c r="IV50" s="224"/>
      <c r="IW50" s="224"/>
      <c r="IX50" s="224"/>
      <c r="IY50" s="224"/>
      <c r="IZ50" s="224"/>
      <c r="JA50" s="224"/>
      <c r="JB50" s="224"/>
      <c r="JC50" s="224"/>
      <c r="JD50" s="224"/>
      <c r="JE50" s="224"/>
      <c r="JF50" s="224"/>
      <c r="JG50" s="224"/>
      <c r="JH50" s="224"/>
      <c r="JI50" s="224"/>
      <c r="JJ50" s="224"/>
      <c r="JK50" s="224"/>
      <c r="JL50" s="224"/>
      <c r="JM50" s="224"/>
      <c r="JN50" s="224"/>
      <c r="JO50" s="224"/>
      <c r="JP50" s="224"/>
      <c r="JQ50" s="224"/>
      <c r="JR50" s="224"/>
      <c r="JS50" s="224"/>
      <c r="JT50" s="224"/>
      <c r="JU50" s="224"/>
      <c r="JV50" s="224"/>
      <c r="JW50" s="224"/>
      <c r="JX50" s="224"/>
      <c r="JY50" s="224"/>
      <c r="JZ50" s="224"/>
      <c r="KA50" s="224"/>
      <c r="KB50" s="224"/>
      <c r="KC50" s="224"/>
      <c r="KD50" s="224"/>
      <c r="KE50" s="224"/>
      <c r="KF50" s="224"/>
      <c r="KG50" s="224"/>
      <c r="KH50" s="224"/>
      <c r="KI50" s="224"/>
      <c r="KJ50" s="224"/>
      <c r="KK50" s="224"/>
      <c r="KL50" s="224"/>
      <c r="KM50" s="224"/>
      <c r="KN50" s="224"/>
      <c r="KO50" s="224"/>
      <c r="KP50" s="224"/>
      <c r="KQ50" s="224"/>
      <c r="KR50" s="224"/>
      <c r="KS50" s="224"/>
      <c r="KT50" s="224"/>
      <c r="KU50" s="224"/>
      <c r="KV50" s="224"/>
      <c r="KW50" s="224"/>
      <c r="KX50" s="224"/>
      <c r="KY50" s="224"/>
      <c r="KZ50" s="224"/>
      <c r="LA50" s="224"/>
      <c r="LB50" s="224"/>
      <c r="LC50" s="224"/>
      <c r="LD50" s="224"/>
      <c r="LE50" s="224"/>
      <c r="LF50" s="224"/>
      <c r="LG50" s="224"/>
      <c r="LH50" s="224"/>
      <c r="LI50" s="224"/>
      <c r="LJ50" s="224"/>
      <c r="LK50" s="224"/>
      <c r="LL50" s="224"/>
      <c r="LM50" s="224"/>
      <c r="LN50" s="224"/>
      <c r="LO50" s="224"/>
      <c r="LP50" s="224"/>
    </row>
    <row r="51" spans="1:328" s="71" customFormat="1" hidden="1">
      <c r="A51" s="133" t="s">
        <v>150</v>
      </c>
      <c r="B51" s="159"/>
      <c r="C51" s="140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41"/>
    </row>
    <row r="52" spans="1:328" s="71" customFormat="1" hidden="1">
      <c r="A52" s="133" t="s">
        <v>151</v>
      </c>
      <c r="B52" s="159"/>
      <c r="C52" s="144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45"/>
    </row>
    <row r="53" spans="1:328" s="71" customFormat="1" hidden="1">
      <c r="A53" s="133" t="s">
        <v>152</v>
      </c>
      <c r="B53" s="159"/>
      <c r="C53" s="146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47"/>
    </row>
    <row r="54" spans="1:328" s="71" customFormat="1" hidden="1">
      <c r="A54" s="133" t="s">
        <v>153</v>
      </c>
      <c r="B54" s="159"/>
      <c r="C54" s="148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49"/>
    </row>
    <row r="55" spans="1:328" s="71" customFormat="1" hidden="1">
      <c r="A55" s="133" t="s">
        <v>143</v>
      </c>
      <c r="B55" s="159"/>
      <c r="C55" s="15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51"/>
    </row>
    <row r="56" spans="1:328" s="71" customFormat="1" hidden="1">
      <c r="A56" s="133" t="s">
        <v>196</v>
      </c>
      <c r="B56" s="159"/>
      <c r="C56" s="158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4"/>
    </row>
    <row r="57" spans="1:328" s="71" customFormat="1" ht="13.5" hidden="1" thickBot="1">
      <c r="A57" s="134" t="s">
        <v>197</v>
      </c>
      <c r="B57" s="137"/>
      <c r="C57" s="154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55"/>
    </row>
    <row r="58" spans="1:328" s="71" customFormat="1">
      <c r="A58" s="136"/>
      <c r="B58" s="136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</row>
    <row r="59" spans="1:328" s="71" customFormat="1">
      <c r="A59" s="132" t="s">
        <v>194</v>
      </c>
      <c r="B59" s="132"/>
      <c r="C59" s="123">
        <f t="shared" ref="C59:N59" si="5">+C11+C26+C41+C56</f>
        <v>169093.85833333331</v>
      </c>
      <c r="D59" s="123">
        <f t="shared" si="5"/>
        <v>169093.85833333331</v>
      </c>
      <c r="E59" s="123">
        <f t="shared" si="5"/>
        <v>169093.85833333331</v>
      </c>
      <c r="F59" s="123">
        <f t="shared" si="5"/>
        <v>169093.85833333331</v>
      </c>
      <c r="G59" s="123">
        <f t="shared" si="5"/>
        <v>169093.85833333331</v>
      </c>
      <c r="H59" s="123">
        <f t="shared" si="5"/>
        <v>169093.85833333331</v>
      </c>
      <c r="I59" s="123">
        <f t="shared" si="5"/>
        <v>169093.85833333331</v>
      </c>
      <c r="J59" s="123">
        <f t="shared" si="5"/>
        <v>169093.85833333331</v>
      </c>
      <c r="K59" s="123">
        <f t="shared" si="5"/>
        <v>169093.85833333331</v>
      </c>
      <c r="L59" s="123">
        <f t="shared" si="5"/>
        <v>169093.85833333331</v>
      </c>
      <c r="M59" s="123">
        <f t="shared" si="5"/>
        <v>169093.85833333331</v>
      </c>
      <c r="N59" s="123">
        <f t="shared" si="5"/>
        <v>169093.85833333331</v>
      </c>
      <c r="O59" s="123">
        <f>SUM(C59:N59)</f>
        <v>2029126.3</v>
      </c>
    </row>
    <row r="60" spans="1:328" s="71" customFormat="1">
      <c r="A60" s="132" t="s">
        <v>195</v>
      </c>
      <c r="B60" s="132"/>
      <c r="C60" s="122">
        <f t="shared" ref="C60:N60" si="6">+C12+C27+C42+C57</f>
        <v>169093.85833333331</v>
      </c>
      <c r="D60" s="122">
        <f t="shared" si="6"/>
        <v>169093.85833333331</v>
      </c>
      <c r="E60" s="122">
        <f t="shared" si="6"/>
        <v>169093.85833333331</v>
      </c>
      <c r="F60" s="122">
        <f t="shared" si="6"/>
        <v>169093.85833333331</v>
      </c>
      <c r="G60" s="122">
        <f t="shared" si="6"/>
        <v>169093.85833333331</v>
      </c>
      <c r="H60" s="122">
        <f t="shared" si="6"/>
        <v>169093.85833333331</v>
      </c>
      <c r="I60" s="122">
        <f t="shared" si="6"/>
        <v>169093.85833333331</v>
      </c>
      <c r="J60" s="122">
        <f t="shared" si="6"/>
        <v>169093.85833333331</v>
      </c>
      <c r="K60" s="122">
        <f t="shared" si="6"/>
        <v>169093.85833333331</v>
      </c>
      <c r="L60" s="122">
        <f t="shared" si="6"/>
        <v>169093.85833333331</v>
      </c>
      <c r="M60" s="122">
        <f t="shared" si="6"/>
        <v>169093.85833333331</v>
      </c>
      <c r="N60" s="122">
        <f t="shared" si="6"/>
        <v>169093.85833333331</v>
      </c>
      <c r="O60" s="122">
        <f>SUM(C60:N60)</f>
        <v>2029126.3</v>
      </c>
    </row>
    <row r="61" spans="1:328" s="71" customFormat="1">
      <c r="A61" s="243"/>
      <c r="B61" s="244"/>
      <c r="C61" s="96"/>
    </row>
    <row r="62" spans="1:328" s="71" customFormat="1">
      <c r="A62" s="132" t="s">
        <v>263</v>
      </c>
      <c r="B62" s="132"/>
      <c r="C62" s="123">
        <f>C8*C10</f>
        <v>64980.295054400834</v>
      </c>
      <c r="D62" s="123">
        <f t="shared" ref="D62:N62" si="7">D8*D10</f>
        <v>64980.295054400834</v>
      </c>
      <c r="E62" s="123">
        <f t="shared" si="7"/>
        <v>64980.295054400834</v>
      </c>
      <c r="F62" s="123">
        <f t="shared" si="7"/>
        <v>64980.295054400834</v>
      </c>
      <c r="G62" s="123">
        <f t="shared" si="7"/>
        <v>64980.295054400834</v>
      </c>
      <c r="H62" s="123">
        <f t="shared" si="7"/>
        <v>64980.295054400834</v>
      </c>
      <c r="I62" s="123">
        <f t="shared" si="7"/>
        <v>64980.295054400834</v>
      </c>
      <c r="J62" s="123">
        <f t="shared" si="7"/>
        <v>64980.295054400834</v>
      </c>
      <c r="K62" s="123">
        <f t="shared" si="7"/>
        <v>64980.295054400834</v>
      </c>
      <c r="L62" s="123">
        <f t="shared" si="7"/>
        <v>64980.295054400834</v>
      </c>
      <c r="M62" s="123">
        <f t="shared" si="7"/>
        <v>64980.295054400834</v>
      </c>
      <c r="N62" s="123">
        <f t="shared" si="7"/>
        <v>64980.295054400834</v>
      </c>
      <c r="O62" s="123">
        <f>SUM(C62:N62)</f>
        <v>779763.54065280978</v>
      </c>
    </row>
    <row r="63" spans="1:328" s="71" customFormat="1">
      <c r="A63" s="243"/>
      <c r="B63" s="244"/>
      <c r="C63" s="96"/>
    </row>
    <row r="64" spans="1:328" s="71" customFormat="1">
      <c r="A64" s="136" t="s">
        <v>330</v>
      </c>
      <c r="B64" s="136"/>
      <c r="C64" s="130">
        <f>'Labor Rates-DP'!T51</f>
        <v>501.24999999999989</v>
      </c>
      <c r="D64" s="130">
        <f>'Labor Rates-DP'!T52</f>
        <v>501.24999999999989</v>
      </c>
      <c r="E64" s="130">
        <f>'Labor Rates-DP'!T53</f>
        <v>501.24999999999989</v>
      </c>
      <c r="F64" s="130">
        <f>'Labor Rates-DP'!T54</f>
        <v>501.24999999999989</v>
      </c>
      <c r="G64" s="130">
        <f>'Labor Rates-DP'!T55</f>
        <v>501.24999999999989</v>
      </c>
      <c r="H64" s="130">
        <f>'Labor Rates-DP'!T56</f>
        <v>501.24999999999989</v>
      </c>
      <c r="I64" s="130">
        <f>'Labor Rates-DP'!T57</f>
        <v>501.24999999999989</v>
      </c>
      <c r="J64" s="130">
        <f>'Labor Rates-DP'!T58</f>
        <v>501.24999999999989</v>
      </c>
      <c r="K64" s="130">
        <f>'Labor Rates-DP'!T59</f>
        <v>501.24999999999989</v>
      </c>
      <c r="L64" s="130">
        <f>'Labor Rates-DP'!T60</f>
        <v>501.24999999999989</v>
      </c>
      <c r="M64" s="130">
        <f>'Labor Rates-DP'!T61</f>
        <v>501.24999999999989</v>
      </c>
      <c r="N64" s="130">
        <f>'Labor Rates-DP'!T62</f>
        <v>501.24999999999989</v>
      </c>
      <c r="O64" s="253">
        <f>SUM(C64:N64)</f>
        <v>6014.9999999999991</v>
      </c>
    </row>
    <row r="65" spans="1:15" s="71" customFormat="1">
      <c r="A65" s="132" t="s">
        <v>155</v>
      </c>
      <c r="B65" s="132"/>
      <c r="C65" s="131">
        <f t="shared" ref="C65:N65" si="8">C10</f>
        <v>54.893596666864497</v>
      </c>
      <c r="D65" s="131">
        <f t="shared" si="8"/>
        <v>54.893596666864497</v>
      </c>
      <c r="E65" s="131">
        <f t="shared" si="8"/>
        <v>54.893596666864497</v>
      </c>
      <c r="F65" s="131">
        <f t="shared" si="8"/>
        <v>54.893596666864497</v>
      </c>
      <c r="G65" s="131">
        <f t="shared" si="8"/>
        <v>54.893596666864497</v>
      </c>
      <c r="H65" s="131">
        <f t="shared" si="8"/>
        <v>54.893596666864497</v>
      </c>
      <c r="I65" s="131">
        <f t="shared" si="8"/>
        <v>54.893596666864497</v>
      </c>
      <c r="J65" s="131">
        <f t="shared" si="8"/>
        <v>54.893596666864497</v>
      </c>
      <c r="K65" s="131">
        <f t="shared" si="8"/>
        <v>54.893596666864497</v>
      </c>
      <c r="L65" s="131">
        <f t="shared" si="8"/>
        <v>54.893596666864497</v>
      </c>
      <c r="M65" s="131">
        <f t="shared" si="8"/>
        <v>54.893596666864497</v>
      </c>
      <c r="N65" s="131">
        <f t="shared" si="8"/>
        <v>54.893596666864497</v>
      </c>
    </row>
    <row r="66" spans="1:15">
      <c r="A66" s="254" t="s">
        <v>315</v>
      </c>
      <c r="B66" s="244"/>
      <c r="C66" s="96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</row>
    <row r="67" spans="1:15">
      <c r="A67" s="243" t="s">
        <v>243</v>
      </c>
      <c r="B67" s="244"/>
      <c r="C67" s="255">
        <f t="shared" ref="C67:N67" si="9">C8*C10</f>
        <v>64980.295054400834</v>
      </c>
      <c r="D67" s="255">
        <f t="shared" si="9"/>
        <v>64980.295054400834</v>
      </c>
      <c r="E67" s="255">
        <f t="shared" si="9"/>
        <v>64980.295054400834</v>
      </c>
      <c r="F67" s="255">
        <f t="shared" si="9"/>
        <v>64980.295054400834</v>
      </c>
      <c r="G67" s="255">
        <f t="shared" si="9"/>
        <v>64980.295054400834</v>
      </c>
      <c r="H67" s="255">
        <f t="shared" si="9"/>
        <v>64980.295054400834</v>
      </c>
      <c r="I67" s="255">
        <f t="shared" si="9"/>
        <v>64980.295054400834</v>
      </c>
      <c r="J67" s="255">
        <f t="shared" si="9"/>
        <v>64980.295054400834</v>
      </c>
      <c r="K67" s="255">
        <f t="shared" si="9"/>
        <v>64980.295054400834</v>
      </c>
      <c r="L67" s="255">
        <f t="shared" si="9"/>
        <v>64980.295054400834</v>
      </c>
      <c r="M67" s="255">
        <f t="shared" si="9"/>
        <v>64980.295054400834</v>
      </c>
      <c r="N67" s="255">
        <f t="shared" si="9"/>
        <v>64980.295054400834</v>
      </c>
      <c r="O67" s="256">
        <f>SUM(C67:N67)</f>
        <v>779763.54065280978</v>
      </c>
    </row>
    <row r="68" spans="1:15">
      <c r="A68" s="243" t="s">
        <v>331</v>
      </c>
      <c r="B68" s="244"/>
      <c r="C68" s="255">
        <f>C64*C65</f>
        <v>27515.415329265823</v>
      </c>
      <c r="D68" s="255">
        <f t="shared" ref="D68:N68" si="10">D64*D65</f>
        <v>27515.415329265823</v>
      </c>
      <c r="E68" s="255">
        <f t="shared" si="10"/>
        <v>27515.415329265823</v>
      </c>
      <c r="F68" s="255">
        <f t="shared" si="10"/>
        <v>27515.415329265823</v>
      </c>
      <c r="G68" s="255">
        <f t="shared" si="10"/>
        <v>27515.415329265823</v>
      </c>
      <c r="H68" s="255">
        <f t="shared" si="10"/>
        <v>27515.415329265823</v>
      </c>
      <c r="I68" s="255">
        <f t="shared" si="10"/>
        <v>27515.415329265823</v>
      </c>
      <c r="J68" s="255">
        <f t="shared" si="10"/>
        <v>27515.415329265823</v>
      </c>
      <c r="K68" s="255">
        <f t="shared" si="10"/>
        <v>27515.415329265823</v>
      </c>
      <c r="L68" s="255">
        <f t="shared" si="10"/>
        <v>27515.415329265823</v>
      </c>
      <c r="M68" s="255">
        <f t="shared" si="10"/>
        <v>27515.415329265823</v>
      </c>
      <c r="N68" s="255">
        <f t="shared" si="10"/>
        <v>27515.415329265823</v>
      </c>
      <c r="O68" s="257">
        <f>SUM(C68:N68)</f>
        <v>330184.98395118985</v>
      </c>
    </row>
    <row r="69" spans="1:15">
      <c r="A69" s="243"/>
      <c r="B69" s="244"/>
      <c r="C69" s="250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256">
        <f>SUM(O67:O68)</f>
        <v>1109948.5246039997</v>
      </c>
    </row>
  </sheetData>
  <sheetProtection algorithmName="SHA-512" hashValue="EZZc3tlBDKfRQYsWztf/WSAFrlJev9SgFNZUWM8xaJupqujoHzLkvtJyN7d0yMy+kxQpITHuJoe7BKR1foRqJw==" saltValue="Ft1S8BbaxtTYXv/xIpWiOA==" spinCount="100000" sheet="1" objects="1" scenarios="1"/>
  <mergeCells count="17">
    <mergeCell ref="C30:N30"/>
    <mergeCell ref="C45:N45"/>
    <mergeCell ref="L2:L4"/>
    <mergeCell ref="M2:M4"/>
    <mergeCell ref="N2:N4"/>
    <mergeCell ref="C6:N6"/>
    <mergeCell ref="C15:N15"/>
    <mergeCell ref="C1:N1"/>
    <mergeCell ref="C2:C4"/>
    <mergeCell ref="D2:D4"/>
    <mergeCell ref="E2:E4"/>
    <mergeCell ref="F2:F4"/>
    <mergeCell ref="G2:G4"/>
    <mergeCell ref="H2:H4"/>
    <mergeCell ref="I2:I4"/>
    <mergeCell ref="J2:J4"/>
    <mergeCell ref="K2:K4"/>
  </mergeCells>
  <printOptions gridLines="1"/>
  <pageMargins left="0.41" right="0.39" top="1.0900000000000001" bottom="0.47" header="0.17" footer="0.17"/>
  <pageSetup scale="10" orientation="portrait" r:id="rId1"/>
  <headerFooter alignWithMargins="0">
    <oddHeader>&amp;C&amp;"Arial,Bold"&amp;11CVR ENGINEERING
2024 Budget
&amp;A&amp;R&amp;"Arial,Bold"&amp;8&amp;F
&amp;D
&amp;T</oddHeader>
    <oddFooter>&amp;R&amp;A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1">
    <tabColor rgb="FF92D050"/>
    <pageSetUpPr fitToPage="1"/>
  </sheetPr>
  <dimension ref="A2:W64"/>
  <sheetViews>
    <sheetView zoomScale="120" zoomScaleNormal="120" workbookViewId="0">
      <pane xSplit="1" ySplit="1" topLeftCell="B2" activePane="bottomRight" state="frozen"/>
      <selection activeCell="S25" sqref="S25"/>
      <selection pane="topRight" activeCell="S25" sqref="S25"/>
      <selection pane="bottomLeft" activeCell="S25" sqref="S25"/>
      <selection pane="bottomRight" activeCell="S25" sqref="S25"/>
    </sheetView>
  </sheetViews>
  <sheetFormatPr defaultColWidth="8.77734375" defaultRowHeight="12.75"/>
  <cols>
    <col min="1" max="1" width="8" style="282" customWidth="1"/>
    <col min="2" max="3" width="10.44140625" style="280" customWidth="1"/>
    <col min="4" max="4" width="8.77734375" style="281" customWidth="1"/>
    <col min="5" max="5" width="10.44140625" style="280" customWidth="1"/>
    <col min="6" max="6" width="8.77734375" style="282"/>
    <col min="7" max="7" width="3.109375" style="282" customWidth="1"/>
    <col min="8" max="11" width="10.44140625" style="280" customWidth="1"/>
    <col min="12" max="13" width="13.88671875" style="280" bestFit="1" customWidth="1"/>
    <col min="14" max="14" width="10.44140625" style="280" customWidth="1"/>
    <col min="15" max="15" width="12.5546875" style="280" customWidth="1"/>
    <col min="16" max="16" width="10.44140625" style="280" customWidth="1"/>
    <col min="17" max="17" width="10.77734375" style="284" customWidth="1"/>
    <col min="18" max="18" width="8.88671875" style="285"/>
    <col min="19" max="19" width="10" style="282" bestFit="1" customWidth="1"/>
    <col min="20" max="16384" width="8.77734375" style="282"/>
  </cols>
  <sheetData>
    <row r="2" spans="1:19">
      <c r="A2" s="279" t="s">
        <v>382</v>
      </c>
      <c r="O2" s="280" t="s">
        <v>264</v>
      </c>
      <c r="P2" s="283">
        <v>46002</v>
      </c>
    </row>
    <row r="3" spans="1:19">
      <c r="P3" s="283"/>
    </row>
    <row r="4" spans="1:19">
      <c r="A4" s="286" t="s">
        <v>265</v>
      </c>
    </row>
    <row r="5" spans="1:19">
      <c r="B5" s="280" t="s">
        <v>28</v>
      </c>
      <c r="C5" s="280" t="s">
        <v>172</v>
      </c>
      <c r="D5" s="281" t="s">
        <v>266</v>
      </c>
      <c r="E5" s="280" t="s">
        <v>267</v>
      </c>
      <c r="F5" s="285" t="s">
        <v>268</v>
      </c>
      <c r="H5" s="280" t="s">
        <v>269</v>
      </c>
      <c r="I5" s="280" t="s">
        <v>270</v>
      </c>
      <c r="J5" s="280" t="s">
        <v>271</v>
      </c>
      <c r="K5" s="280" t="s">
        <v>272</v>
      </c>
      <c r="L5" s="280" t="s">
        <v>273</v>
      </c>
      <c r="M5" s="280" t="s">
        <v>274</v>
      </c>
      <c r="N5" s="280" t="s">
        <v>275</v>
      </c>
      <c r="O5" s="280" t="s">
        <v>276</v>
      </c>
      <c r="P5" s="280" t="s">
        <v>277</v>
      </c>
    </row>
    <row r="6" spans="1:19">
      <c r="A6" s="282" t="s">
        <v>278</v>
      </c>
      <c r="B6" s="280">
        <f>Labor!H2</f>
        <v>198600.48</v>
      </c>
      <c r="C6" s="280">
        <f>B6*1.25</f>
        <v>248250.6</v>
      </c>
      <c r="D6" s="281">
        <f>Labor!X2</f>
        <v>0.15</v>
      </c>
      <c r="E6" s="280">
        <f>C6+(B6*D6)</f>
        <v>278040.67200000002</v>
      </c>
      <c r="F6" s="287">
        <f>E6/2000</f>
        <v>139.02033600000001</v>
      </c>
      <c r="H6" s="280">
        <v>300</v>
      </c>
      <c r="I6" s="280">
        <v>60</v>
      </c>
      <c r="J6" s="280">
        <v>50</v>
      </c>
      <c r="K6" s="280">
        <v>500</v>
      </c>
      <c r="L6" s="280">
        <v>1000</v>
      </c>
      <c r="M6" s="280">
        <v>250</v>
      </c>
      <c r="N6" s="280">
        <v>250</v>
      </c>
      <c r="O6" s="280">
        <v>8000</v>
      </c>
      <c r="P6" s="280">
        <f>(H6*12)+(I6*12)+(J6*12)+(K6*4)+(L6*4)+(M6*4)+(N6*4)+O6</f>
        <v>20920</v>
      </c>
      <c r="R6" s="280"/>
      <c r="S6" s="288">
        <f>B6/12</f>
        <v>16550.04</v>
      </c>
    </row>
    <row r="7" spans="1:19">
      <c r="A7" s="282" t="s">
        <v>317</v>
      </c>
      <c r="B7" s="280">
        <f>Labor!H3</f>
        <v>166335.73000000001</v>
      </c>
      <c r="C7" s="280">
        <f t="shared" ref="C7:C17" si="0">B7*1.25</f>
        <v>207919.66250000001</v>
      </c>
      <c r="D7" s="281">
        <f>Labor!X3</f>
        <v>0.15</v>
      </c>
      <c r="E7" s="280">
        <f>C7+(B7*D7)</f>
        <v>232870.022</v>
      </c>
      <c r="F7" s="287">
        <f t="shared" ref="F7:F14" si="1">E7/2000</f>
        <v>116.435011</v>
      </c>
      <c r="H7" s="280">
        <v>100</v>
      </c>
      <c r="I7" s="280">
        <v>60</v>
      </c>
      <c r="J7" s="280">
        <v>50</v>
      </c>
      <c r="K7" s="280">
        <v>250</v>
      </c>
      <c r="L7" s="280">
        <v>750</v>
      </c>
      <c r="M7" s="280">
        <v>250</v>
      </c>
      <c r="N7" s="280">
        <v>100</v>
      </c>
      <c r="O7" s="280">
        <v>8000</v>
      </c>
      <c r="P7" s="280">
        <f t="shared" ref="P7:P17" si="2">(H7*12)+(I7*12)+(J7*12)+(K7*4)+(L7*4)+(M7*4)+(N7*4)+O7</f>
        <v>15920</v>
      </c>
      <c r="R7" s="280"/>
      <c r="S7" s="288">
        <f t="shared" ref="S7:S17" si="3">B7/12</f>
        <v>13861.310833333335</v>
      </c>
    </row>
    <row r="8" spans="1:19">
      <c r="A8" s="282" t="s">
        <v>365</v>
      </c>
      <c r="B8" s="280">
        <f>Labor!H4</f>
        <v>120510</v>
      </c>
      <c r="C8" s="280">
        <f t="shared" si="0"/>
        <v>150637.5</v>
      </c>
      <c r="D8" s="281">
        <f>Labor!X4</f>
        <v>0</v>
      </c>
      <c r="E8" s="280">
        <f>C8+(B8*D8)</f>
        <v>150637.5</v>
      </c>
      <c r="F8" s="287">
        <f t="shared" si="1"/>
        <v>75.318749999999994</v>
      </c>
      <c r="H8" s="280">
        <v>50</v>
      </c>
      <c r="I8" s="280">
        <v>60</v>
      </c>
      <c r="J8" s="280">
        <v>50</v>
      </c>
      <c r="K8" s="280">
        <v>250</v>
      </c>
      <c r="L8" s="280">
        <v>750</v>
      </c>
      <c r="M8" s="280">
        <v>250</v>
      </c>
      <c r="N8" s="280">
        <v>0</v>
      </c>
      <c r="O8" s="280">
        <v>8000</v>
      </c>
      <c r="P8" s="280">
        <f t="shared" si="2"/>
        <v>14920</v>
      </c>
      <c r="R8" s="280"/>
      <c r="S8" s="288">
        <f t="shared" si="3"/>
        <v>10042.5</v>
      </c>
    </row>
    <row r="9" spans="1:19">
      <c r="A9" s="282" t="s">
        <v>374</v>
      </c>
      <c r="B9" s="280">
        <f>Labor!H5</f>
        <v>6427.2</v>
      </c>
      <c r="C9" s="280">
        <f t="shared" si="0"/>
        <v>8034</v>
      </c>
      <c r="D9" s="281">
        <f>Labor!X5</f>
        <v>0</v>
      </c>
      <c r="E9" s="280">
        <f>C9+(B9*D9)</f>
        <v>8034</v>
      </c>
      <c r="F9" s="287">
        <f t="shared" si="1"/>
        <v>4.0170000000000003</v>
      </c>
      <c r="H9" s="280">
        <v>400</v>
      </c>
      <c r="I9" s="280">
        <v>60</v>
      </c>
      <c r="J9" s="280">
        <v>50</v>
      </c>
      <c r="K9" s="280">
        <v>500</v>
      </c>
      <c r="L9" s="280">
        <v>2000</v>
      </c>
      <c r="M9" s="280">
        <v>250</v>
      </c>
      <c r="N9" s="280">
        <v>100</v>
      </c>
      <c r="O9" s="280">
        <v>8000</v>
      </c>
      <c r="P9" s="280">
        <f t="shared" si="2"/>
        <v>25520</v>
      </c>
      <c r="R9" s="280"/>
      <c r="S9" s="288">
        <f t="shared" si="3"/>
        <v>535.6</v>
      </c>
    </row>
    <row r="10" spans="1:19">
      <c r="A10" s="282" t="s">
        <v>279</v>
      </c>
      <c r="B10" s="280">
        <f>Labor!H6</f>
        <v>126173.89790000001</v>
      </c>
      <c r="C10" s="280">
        <f t="shared" si="0"/>
        <v>157717.37237500001</v>
      </c>
      <c r="D10" s="281">
        <f>Labor!X6</f>
        <v>0</v>
      </c>
      <c r="E10" s="280">
        <f t="shared" ref="E10:E17" si="4">C10+(B10*D10)</f>
        <v>157717.37237500001</v>
      </c>
      <c r="F10" s="287">
        <f t="shared" si="1"/>
        <v>78.858686187499998</v>
      </c>
      <c r="H10" s="280">
        <v>50</v>
      </c>
      <c r="I10" s="280">
        <v>60</v>
      </c>
      <c r="J10" s="280">
        <v>50</v>
      </c>
      <c r="K10" s="280">
        <v>250</v>
      </c>
      <c r="L10" s="280">
        <v>500</v>
      </c>
      <c r="M10" s="280">
        <v>250</v>
      </c>
      <c r="N10" s="280">
        <v>0</v>
      </c>
      <c r="O10" s="280">
        <v>8000</v>
      </c>
      <c r="P10" s="280">
        <f t="shared" si="2"/>
        <v>13920</v>
      </c>
      <c r="R10" s="280"/>
      <c r="S10" s="288">
        <f t="shared" si="3"/>
        <v>10514.491491666668</v>
      </c>
    </row>
    <row r="11" spans="1:19">
      <c r="A11" s="282" t="s">
        <v>318</v>
      </c>
      <c r="B11" s="280">
        <f>Labor!H7</f>
        <v>92288</v>
      </c>
      <c r="C11" s="280">
        <f t="shared" si="0"/>
        <v>115360</v>
      </c>
      <c r="D11" s="281">
        <f>Labor!X7</f>
        <v>0</v>
      </c>
      <c r="E11" s="280">
        <f t="shared" si="4"/>
        <v>115360</v>
      </c>
      <c r="F11" s="287">
        <f t="shared" si="1"/>
        <v>57.68</v>
      </c>
      <c r="H11" s="280">
        <v>50</v>
      </c>
      <c r="I11" s="280">
        <v>60</v>
      </c>
      <c r="J11" s="280">
        <v>50</v>
      </c>
      <c r="K11" s="280">
        <v>250</v>
      </c>
      <c r="L11" s="280">
        <v>500</v>
      </c>
      <c r="M11" s="280">
        <v>250</v>
      </c>
      <c r="N11" s="280">
        <v>0</v>
      </c>
      <c r="O11" s="280">
        <v>8000</v>
      </c>
      <c r="P11" s="280">
        <f t="shared" si="2"/>
        <v>13920</v>
      </c>
      <c r="R11" s="280"/>
      <c r="S11" s="288">
        <f t="shared" si="3"/>
        <v>7690.666666666667</v>
      </c>
    </row>
    <row r="12" spans="1:19">
      <c r="A12" s="282" t="s">
        <v>364</v>
      </c>
      <c r="B12" s="280">
        <f>Labor!H8</f>
        <v>105574.99752800001</v>
      </c>
      <c r="C12" s="280">
        <f t="shared" si="0"/>
        <v>131968.74691000002</v>
      </c>
      <c r="D12" s="281">
        <f>Labor!X8</f>
        <v>0</v>
      </c>
      <c r="E12" s="280">
        <f t="shared" si="4"/>
        <v>131968.74691000002</v>
      </c>
      <c r="F12" s="287">
        <f t="shared" si="1"/>
        <v>65.984373455000011</v>
      </c>
      <c r="H12" s="280">
        <v>50</v>
      </c>
      <c r="I12" s="280">
        <v>60</v>
      </c>
      <c r="J12" s="280">
        <v>50</v>
      </c>
      <c r="K12" s="280">
        <v>250</v>
      </c>
      <c r="L12" s="280">
        <v>500</v>
      </c>
      <c r="M12" s="280">
        <v>250</v>
      </c>
      <c r="N12" s="280">
        <v>0</v>
      </c>
      <c r="O12" s="280">
        <v>8000</v>
      </c>
      <c r="P12" s="280">
        <f t="shared" si="2"/>
        <v>13920</v>
      </c>
      <c r="R12" s="280"/>
      <c r="S12" s="288">
        <f t="shared" si="3"/>
        <v>8797.9164606666673</v>
      </c>
    </row>
    <row r="13" spans="1:19">
      <c r="A13" s="282" t="s">
        <v>363</v>
      </c>
      <c r="B13" s="280">
        <f>Labor!H9</f>
        <v>64272</v>
      </c>
      <c r="C13" s="280">
        <f t="shared" si="0"/>
        <v>80340</v>
      </c>
      <c r="D13" s="281">
        <f>Labor!X9</f>
        <v>0</v>
      </c>
      <c r="E13" s="280">
        <f t="shared" si="4"/>
        <v>80340</v>
      </c>
      <c r="F13" s="287">
        <f t="shared" si="1"/>
        <v>40.17</v>
      </c>
      <c r="H13" s="280">
        <v>50</v>
      </c>
      <c r="I13" s="280">
        <v>60</v>
      </c>
      <c r="J13" s="280">
        <v>50</v>
      </c>
      <c r="K13" s="280">
        <v>250</v>
      </c>
      <c r="L13" s="280">
        <v>500</v>
      </c>
      <c r="M13" s="280">
        <v>250</v>
      </c>
      <c r="N13" s="280">
        <v>0</v>
      </c>
      <c r="O13" s="280">
        <v>8000</v>
      </c>
      <c r="P13" s="280">
        <f t="shared" si="2"/>
        <v>13920</v>
      </c>
      <c r="R13" s="280"/>
      <c r="S13" s="288">
        <f t="shared" si="3"/>
        <v>5356</v>
      </c>
    </row>
    <row r="14" spans="1:19">
      <c r="A14" s="282" t="s">
        <v>375</v>
      </c>
      <c r="B14" s="280">
        <f>Labor!H10</f>
        <v>132354.99752800001</v>
      </c>
      <c r="C14" s="280">
        <f t="shared" si="0"/>
        <v>165443.74691000002</v>
      </c>
      <c r="D14" s="281">
        <f>Labor!X10</f>
        <v>0</v>
      </c>
      <c r="E14" s="280">
        <f t="shared" si="4"/>
        <v>165443.74691000002</v>
      </c>
      <c r="F14" s="287">
        <f t="shared" si="1"/>
        <v>82.721873455000008</v>
      </c>
      <c r="H14" s="280">
        <v>50</v>
      </c>
      <c r="I14" s="280">
        <v>60</v>
      </c>
      <c r="J14" s="280">
        <v>50</v>
      </c>
      <c r="K14" s="280">
        <v>250</v>
      </c>
      <c r="L14" s="280">
        <v>750</v>
      </c>
      <c r="M14" s="280">
        <v>250</v>
      </c>
      <c r="N14" s="280">
        <v>100</v>
      </c>
      <c r="O14" s="280">
        <v>8000</v>
      </c>
      <c r="P14" s="280">
        <f t="shared" si="2"/>
        <v>15320</v>
      </c>
      <c r="R14" s="280"/>
      <c r="S14" s="288">
        <f t="shared" si="3"/>
        <v>11029.583127333333</v>
      </c>
    </row>
    <row r="15" spans="1:19">
      <c r="A15" s="282" t="s">
        <v>376</v>
      </c>
      <c r="B15" s="280">
        <f>Labor!H11</f>
        <v>92082.001648000005</v>
      </c>
      <c r="C15" s="280">
        <f t="shared" si="0"/>
        <v>115102.50206</v>
      </c>
      <c r="D15" s="281">
        <f>Labor!X11</f>
        <v>0</v>
      </c>
      <c r="E15" s="280">
        <f t="shared" si="4"/>
        <v>115102.50206</v>
      </c>
      <c r="F15" s="287">
        <v>120</v>
      </c>
      <c r="H15" s="280">
        <v>50</v>
      </c>
      <c r="I15" s="280">
        <v>60</v>
      </c>
      <c r="J15" s="280">
        <v>50</v>
      </c>
      <c r="K15" s="280">
        <v>250</v>
      </c>
      <c r="L15" s="280">
        <v>500</v>
      </c>
      <c r="M15" s="280">
        <v>250</v>
      </c>
      <c r="N15" s="280">
        <v>0</v>
      </c>
      <c r="O15" s="280">
        <v>8000</v>
      </c>
      <c r="P15" s="280">
        <f t="shared" si="2"/>
        <v>13920</v>
      </c>
      <c r="R15" s="280"/>
      <c r="S15" s="288">
        <f t="shared" si="3"/>
        <v>7673.5001373333334</v>
      </c>
    </row>
    <row r="16" spans="1:19">
      <c r="A16" s="282" t="s">
        <v>366</v>
      </c>
      <c r="B16" s="280">
        <f>Labor!H12</f>
        <v>1151.54</v>
      </c>
      <c r="C16" s="280">
        <f t="shared" si="0"/>
        <v>1439.425</v>
      </c>
      <c r="D16" s="281">
        <f>Labor!X12</f>
        <v>0</v>
      </c>
      <c r="E16" s="280">
        <f t="shared" si="4"/>
        <v>1439.425</v>
      </c>
      <c r="F16" s="287">
        <v>20</v>
      </c>
      <c r="H16" s="280">
        <v>0</v>
      </c>
      <c r="I16" s="280">
        <v>0</v>
      </c>
      <c r="K16" s="280">
        <v>0</v>
      </c>
      <c r="L16" s="280">
        <v>0</v>
      </c>
      <c r="M16" s="280">
        <v>0</v>
      </c>
      <c r="N16" s="280">
        <v>0</v>
      </c>
      <c r="O16" s="280">
        <v>8000</v>
      </c>
      <c r="P16" s="280">
        <f t="shared" si="2"/>
        <v>8000</v>
      </c>
      <c r="R16" s="280"/>
      <c r="S16" s="288">
        <f t="shared" si="3"/>
        <v>95.961666666666659</v>
      </c>
    </row>
    <row r="17" spans="1:19">
      <c r="A17" s="282" t="s">
        <v>319</v>
      </c>
      <c r="B17" s="280">
        <f>Labor!H13</f>
        <v>4177.68</v>
      </c>
      <c r="C17" s="280">
        <f t="shared" si="0"/>
        <v>5222.1000000000004</v>
      </c>
      <c r="D17" s="281">
        <f>Labor!X13</f>
        <v>0</v>
      </c>
      <c r="E17" s="280">
        <f t="shared" si="4"/>
        <v>5222.1000000000004</v>
      </c>
      <c r="F17" s="287">
        <v>78</v>
      </c>
      <c r="H17" s="280">
        <v>0</v>
      </c>
      <c r="I17" s="280">
        <v>0</v>
      </c>
      <c r="J17" s="280">
        <v>50</v>
      </c>
      <c r="K17" s="280">
        <v>100</v>
      </c>
      <c r="L17" s="280">
        <v>100</v>
      </c>
      <c r="M17" s="280">
        <v>250</v>
      </c>
      <c r="N17" s="280">
        <v>0</v>
      </c>
      <c r="O17" s="280">
        <v>8000</v>
      </c>
      <c r="P17" s="280">
        <f t="shared" si="2"/>
        <v>10400</v>
      </c>
      <c r="R17" s="280"/>
      <c r="S17" s="288">
        <f t="shared" si="3"/>
        <v>348.14000000000004</v>
      </c>
    </row>
    <row r="18" spans="1:19">
      <c r="F18" s="287"/>
      <c r="R18" s="280"/>
      <c r="S18" s="288"/>
    </row>
    <row r="19" spans="1:19">
      <c r="B19" s="289">
        <f>SUM(B6:B17)</f>
        <v>1109948.5246040002</v>
      </c>
      <c r="C19" s="280">
        <f>SUM(C6:C17)</f>
        <v>1387435.6557550002</v>
      </c>
      <c r="D19" s="290">
        <f>E20-C19</f>
        <v>54740.431500000181</v>
      </c>
      <c r="E19" s="280" t="s">
        <v>10</v>
      </c>
      <c r="F19" s="287"/>
      <c r="H19" s="289">
        <f>SUM(H6:H17)*12</f>
        <v>13800</v>
      </c>
      <c r="I19" s="289">
        <f>SUM(I6:I17)*12</f>
        <v>7200</v>
      </c>
      <c r="J19" s="289">
        <f>SUM(J6:J17)*12</f>
        <v>6600</v>
      </c>
      <c r="K19" s="289">
        <f>SUM(K6:K17)*4</f>
        <v>12400</v>
      </c>
      <c r="L19" s="289">
        <f>SUM(L6:L17)*4</f>
        <v>31400</v>
      </c>
      <c r="M19" s="289">
        <f>SUM(M6:M17)*4</f>
        <v>11000</v>
      </c>
      <c r="N19" s="289">
        <f>SUM(N6:N17)*4</f>
        <v>2200</v>
      </c>
      <c r="O19" s="289">
        <f>SUM(O6:O17)</f>
        <v>96000</v>
      </c>
      <c r="P19" s="289">
        <f>SUM(P6:P18)</f>
        <v>180600</v>
      </c>
      <c r="R19" s="280"/>
      <c r="S19" s="288">
        <f t="shared" ref="S19" si="5">B19/12</f>
        <v>92495.710383666679</v>
      </c>
    </row>
    <row r="20" spans="1:19">
      <c r="D20" s="281" t="s">
        <v>281</v>
      </c>
      <c r="E20" s="280">
        <f>SUM(E6:E17)</f>
        <v>1442176.0872550004</v>
      </c>
      <c r="F20" s="287"/>
      <c r="H20" s="280" t="s">
        <v>28</v>
      </c>
      <c r="I20" s="280" t="s">
        <v>28</v>
      </c>
      <c r="J20" s="280" t="s">
        <v>28</v>
      </c>
      <c r="K20" s="280" t="s">
        <v>28</v>
      </c>
      <c r="L20" s="280" t="s">
        <v>28</v>
      </c>
      <c r="M20" s="280" t="s">
        <v>28</v>
      </c>
      <c r="N20" s="280" t="s">
        <v>28</v>
      </c>
      <c r="O20" s="280" t="s">
        <v>28</v>
      </c>
      <c r="P20" s="280" t="s">
        <v>28</v>
      </c>
      <c r="R20" s="280"/>
    </row>
    <row r="21" spans="1:19">
      <c r="B21" s="287">
        <f>B19/B45</f>
        <v>54.893596666864497</v>
      </c>
      <c r="F21" s="287"/>
      <c r="P21" s="293">
        <v>60000</v>
      </c>
      <c r="Q21" s="284" t="s">
        <v>280</v>
      </c>
      <c r="R21" s="280"/>
    </row>
    <row r="22" spans="1:19" ht="15.2" customHeight="1">
      <c r="C22" s="280">
        <f>C19-B19</f>
        <v>277487.13115100004</v>
      </c>
      <c r="D22" s="291" t="s">
        <v>415</v>
      </c>
      <c r="F22" s="287"/>
      <c r="K22" s="292"/>
      <c r="O22" s="369">
        <f>SUM(P22:P24)</f>
        <v>207000</v>
      </c>
      <c r="P22" s="293">
        <v>0</v>
      </c>
      <c r="Q22" s="284">
        <v>0.25</v>
      </c>
      <c r="R22" s="280"/>
    </row>
    <row r="23" spans="1:19">
      <c r="C23" s="293">
        <f>(B19+D19)*5%</f>
        <v>58234.44780520002</v>
      </c>
      <c r="D23" s="291" t="s">
        <v>320</v>
      </c>
      <c r="F23" s="287"/>
      <c r="K23" s="292"/>
      <c r="O23" s="369"/>
      <c r="P23" s="293">
        <v>0</v>
      </c>
      <c r="Q23" s="284">
        <v>0.2</v>
      </c>
    </row>
    <row r="24" spans="1:19" ht="24" customHeight="1">
      <c r="C24" s="293">
        <f>Labor!N16</f>
        <v>118800</v>
      </c>
      <c r="D24" s="291" t="s">
        <v>321</v>
      </c>
      <c r="K24" s="292" t="s">
        <v>282</v>
      </c>
      <c r="O24" s="369"/>
      <c r="P24" s="293">
        <f>'Corp OH Alloc &amp; Interest Exp'!B5</f>
        <v>207000</v>
      </c>
    </row>
    <row r="25" spans="1:19">
      <c r="C25" s="293">
        <f>SUM(Labor!O16:R16)+D19*0.0765</f>
        <v>91177.437241956024</v>
      </c>
      <c r="D25" s="291" t="s">
        <v>322</v>
      </c>
    </row>
    <row r="26" spans="1:19">
      <c r="C26" s="293">
        <v>0</v>
      </c>
      <c r="D26" s="291" t="s">
        <v>396</v>
      </c>
      <c r="O26" s="280" t="s">
        <v>283</v>
      </c>
      <c r="P26" s="280">
        <f>(SUM(P6:P17)+SUM(P21:P24))+E20</f>
        <v>1889776.0872550004</v>
      </c>
    </row>
    <row r="27" spans="1:19">
      <c r="C27" s="293">
        <f>Labor!S16</f>
        <v>11099.485246040002</v>
      </c>
      <c r="D27" s="281" t="s">
        <v>394</v>
      </c>
      <c r="E27" s="280">
        <f>C22-C23-C24-C25-C26-C27</f>
        <v>-1824.2391421959928</v>
      </c>
      <c r="F27" s="282" t="s">
        <v>395</v>
      </c>
    </row>
    <row r="28" spans="1:19">
      <c r="A28" s="286" t="s">
        <v>284</v>
      </c>
      <c r="J28" s="280" t="s">
        <v>287</v>
      </c>
      <c r="K28" s="285" t="s">
        <v>288</v>
      </c>
    </row>
    <row r="29" spans="1:19">
      <c r="B29" s="280" t="s">
        <v>285</v>
      </c>
      <c r="C29" s="281" t="s">
        <v>286</v>
      </c>
      <c r="D29" s="280" t="s">
        <v>287</v>
      </c>
      <c r="E29" s="285" t="s">
        <v>288</v>
      </c>
      <c r="F29" s="285" t="s">
        <v>289</v>
      </c>
      <c r="H29" s="280" t="s">
        <v>290</v>
      </c>
      <c r="I29" s="280" t="s">
        <v>291</v>
      </c>
      <c r="J29" s="280" t="s">
        <v>413</v>
      </c>
      <c r="K29" s="280" t="s">
        <v>413</v>
      </c>
      <c r="L29" s="280" t="s">
        <v>292</v>
      </c>
      <c r="N29" s="280" t="s">
        <v>393</v>
      </c>
    </row>
    <row r="30" spans="1:19">
      <c r="A30" s="282" t="s">
        <v>278</v>
      </c>
      <c r="B30" s="294">
        <v>2080</v>
      </c>
      <c r="C30" s="294">
        <v>120</v>
      </c>
      <c r="D30" s="294">
        <f>(B30-C30)*J30</f>
        <v>588</v>
      </c>
      <c r="E30" s="285">
        <f>(B30-C30)*K30</f>
        <v>490</v>
      </c>
      <c r="F30" s="294">
        <f>B30-C30-D30-E30</f>
        <v>882</v>
      </c>
      <c r="H30" s="287">
        <v>308.7</v>
      </c>
      <c r="I30" s="280">
        <f>H30*F30</f>
        <v>272273.39999999997</v>
      </c>
      <c r="J30" s="342">
        <v>0.3</v>
      </c>
      <c r="K30" s="342">
        <v>0.25</v>
      </c>
      <c r="L30" s="284">
        <f>F30/B30</f>
        <v>0.42403846153846153</v>
      </c>
      <c r="N30" s="280">
        <f t="shared" ref="N30:N41" si="6">(B6/B30)*C30</f>
        <v>11457.720000000001</v>
      </c>
    </row>
    <row r="31" spans="1:19">
      <c r="A31" s="282" t="s">
        <v>317</v>
      </c>
      <c r="B31" s="294">
        <v>2080</v>
      </c>
      <c r="C31" s="294">
        <v>120</v>
      </c>
      <c r="D31" s="294">
        <f t="shared" ref="D31:D41" si="7">(B31-C31)*J31</f>
        <v>294</v>
      </c>
      <c r="E31" s="285">
        <f t="shared" ref="E31:E41" si="8">(B31-C31)*K31</f>
        <v>392</v>
      </c>
      <c r="F31" s="294">
        <f t="shared" ref="F31:F41" si="9">B31-C31-D31-E31</f>
        <v>1274</v>
      </c>
      <c r="H31" s="287">
        <v>241.57</v>
      </c>
      <c r="I31" s="280">
        <f t="shared" ref="I31:I41" si="10">H31*F31</f>
        <v>307760.18</v>
      </c>
      <c r="J31" s="342">
        <v>0.15</v>
      </c>
      <c r="K31" s="342">
        <v>0.2</v>
      </c>
      <c r="L31" s="284">
        <f t="shared" ref="L31:L41" si="11">F31/B31</f>
        <v>0.61250000000000004</v>
      </c>
      <c r="N31" s="280">
        <f t="shared" si="6"/>
        <v>9596.2921153846164</v>
      </c>
    </row>
    <row r="32" spans="1:19">
      <c r="A32" s="282" t="s">
        <v>365</v>
      </c>
      <c r="B32" s="294">
        <v>2080</v>
      </c>
      <c r="C32" s="294">
        <v>120</v>
      </c>
      <c r="D32" s="294">
        <f t="shared" si="7"/>
        <v>294</v>
      </c>
      <c r="E32" s="285">
        <f t="shared" si="8"/>
        <v>196</v>
      </c>
      <c r="F32" s="294">
        <f t="shared" si="9"/>
        <v>1470</v>
      </c>
      <c r="H32" s="287">
        <v>152.21</v>
      </c>
      <c r="I32" s="280">
        <f t="shared" si="10"/>
        <v>223748.7</v>
      </c>
      <c r="J32" s="342">
        <v>0.15</v>
      </c>
      <c r="K32" s="342">
        <v>0.1</v>
      </c>
      <c r="L32" s="284">
        <f t="shared" si="11"/>
        <v>0.70673076923076927</v>
      </c>
      <c r="N32" s="280">
        <f t="shared" si="6"/>
        <v>6952.5</v>
      </c>
    </row>
    <row r="33" spans="1:23">
      <c r="A33" s="282" t="s">
        <v>414</v>
      </c>
      <c r="B33" s="343">
        <v>500</v>
      </c>
      <c r="C33" s="294">
        <v>0</v>
      </c>
      <c r="D33" s="294">
        <f t="shared" si="7"/>
        <v>500</v>
      </c>
      <c r="E33" s="285">
        <f t="shared" si="8"/>
        <v>0</v>
      </c>
      <c r="F33" s="294">
        <f t="shared" si="9"/>
        <v>0</v>
      </c>
      <c r="H33" s="287">
        <v>308.7</v>
      </c>
      <c r="I33" s="280">
        <f t="shared" si="10"/>
        <v>0</v>
      </c>
      <c r="J33" s="342">
        <v>1</v>
      </c>
      <c r="K33" s="342">
        <v>0</v>
      </c>
      <c r="L33" s="284">
        <f t="shared" si="11"/>
        <v>0</v>
      </c>
      <c r="N33" s="280">
        <f t="shared" si="6"/>
        <v>0</v>
      </c>
      <c r="T33" s="322"/>
      <c r="U33" s="322"/>
      <c r="V33" s="322"/>
      <c r="W33" s="322"/>
    </row>
    <row r="34" spans="1:23">
      <c r="A34" s="282" t="s">
        <v>279</v>
      </c>
      <c r="B34" s="294">
        <v>2080</v>
      </c>
      <c r="C34" s="294">
        <v>120</v>
      </c>
      <c r="D34" s="294">
        <f t="shared" si="7"/>
        <v>294</v>
      </c>
      <c r="E34" s="285">
        <f t="shared" si="8"/>
        <v>98</v>
      </c>
      <c r="F34" s="294">
        <f t="shared" si="9"/>
        <v>1568</v>
      </c>
      <c r="H34" s="287">
        <v>132.6</v>
      </c>
      <c r="I34" s="280">
        <f t="shared" si="10"/>
        <v>207916.79999999999</v>
      </c>
      <c r="J34" s="342">
        <v>0.15</v>
      </c>
      <c r="K34" s="342">
        <v>0.05</v>
      </c>
      <c r="L34" s="284">
        <f t="shared" si="11"/>
        <v>0.75384615384615383</v>
      </c>
      <c r="N34" s="280">
        <f t="shared" si="6"/>
        <v>7279.2633403846157</v>
      </c>
      <c r="T34" s="322"/>
      <c r="U34" s="322"/>
      <c r="V34" s="322"/>
      <c r="W34" s="322"/>
    </row>
    <row r="35" spans="1:23">
      <c r="A35" s="282" t="s">
        <v>318</v>
      </c>
      <c r="B35" s="294">
        <v>2080</v>
      </c>
      <c r="C35" s="294">
        <v>120</v>
      </c>
      <c r="D35" s="294">
        <f t="shared" si="7"/>
        <v>294</v>
      </c>
      <c r="E35" s="285">
        <f t="shared" si="8"/>
        <v>98</v>
      </c>
      <c r="F35" s="294">
        <f t="shared" si="9"/>
        <v>1568</v>
      </c>
      <c r="H35" s="287">
        <v>112.27</v>
      </c>
      <c r="I35" s="280">
        <f t="shared" si="10"/>
        <v>176039.36</v>
      </c>
      <c r="J35" s="342">
        <v>0.15</v>
      </c>
      <c r="K35" s="342">
        <v>0.05</v>
      </c>
      <c r="L35" s="284">
        <f t="shared" si="11"/>
        <v>0.75384615384615383</v>
      </c>
      <c r="N35" s="280">
        <f t="shared" si="6"/>
        <v>5324.3076923076924</v>
      </c>
    </row>
    <row r="36" spans="1:23">
      <c r="A36" s="282" t="s">
        <v>364</v>
      </c>
      <c r="B36" s="294">
        <v>2080</v>
      </c>
      <c r="C36" s="294">
        <v>120</v>
      </c>
      <c r="D36" s="294">
        <f t="shared" si="7"/>
        <v>294</v>
      </c>
      <c r="E36" s="285">
        <f t="shared" si="8"/>
        <v>0</v>
      </c>
      <c r="F36" s="294">
        <f t="shared" si="9"/>
        <v>1666</v>
      </c>
      <c r="H36" s="287">
        <v>112.27</v>
      </c>
      <c r="I36" s="280">
        <f t="shared" si="10"/>
        <v>187041.82</v>
      </c>
      <c r="J36" s="342">
        <v>0.15</v>
      </c>
      <c r="K36" s="342">
        <v>0</v>
      </c>
      <c r="L36" s="284">
        <f t="shared" si="11"/>
        <v>0.8009615384615385</v>
      </c>
      <c r="N36" s="280">
        <f t="shared" si="6"/>
        <v>6090.8652419999999</v>
      </c>
    </row>
    <row r="37" spans="1:23">
      <c r="A37" s="282" t="s">
        <v>363</v>
      </c>
      <c r="B37" s="294">
        <v>2080</v>
      </c>
      <c r="C37" s="294">
        <v>120</v>
      </c>
      <c r="D37" s="294">
        <f t="shared" si="7"/>
        <v>294</v>
      </c>
      <c r="E37" s="285">
        <f t="shared" si="8"/>
        <v>0</v>
      </c>
      <c r="F37" s="294">
        <f t="shared" si="9"/>
        <v>1666</v>
      </c>
      <c r="H37" s="287">
        <v>76.14</v>
      </c>
      <c r="I37" s="280">
        <f t="shared" si="10"/>
        <v>126849.24</v>
      </c>
      <c r="J37" s="342">
        <v>0.15</v>
      </c>
      <c r="K37" s="342">
        <v>0</v>
      </c>
      <c r="L37" s="284">
        <f t="shared" si="11"/>
        <v>0.8009615384615385</v>
      </c>
      <c r="N37" s="280">
        <f t="shared" si="6"/>
        <v>3708</v>
      </c>
    </row>
    <row r="38" spans="1:23">
      <c r="A38" s="282" t="s">
        <v>375</v>
      </c>
      <c r="B38" s="294">
        <v>2080</v>
      </c>
      <c r="C38" s="294">
        <v>120</v>
      </c>
      <c r="D38" s="294">
        <f t="shared" si="7"/>
        <v>294</v>
      </c>
      <c r="E38" s="285">
        <f t="shared" si="8"/>
        <v>196</v>
      </c>
      <c r="F38" s="294">
        <f t="shared" si="9"/>
        <v>1470</v>
      </c>
      <c r="H38" s="287">
        <v>152.21</v>
      </c>
      <c r="I38" s="280">
        <f t="shared" si="10"/>
        <v>223748.7</v>
      </c>
      <c r="J38" s="342">
        <v>0.15</v>
      </c>
      <c r="K38" s="342">
        <v>0.1</v>
      </c>
      <c r="L38" s="284">
        <f t="shared" si="11"/>
        <v>0.70673076923076927</v>
      </c>
      <c r="N38" s="280">
        <f t="shared" si="6"/>
        <v>7635.8652419999999</v>
      </c>
    </row>
    <row r="39" spans="1:23">
      <c r="A39" s="282" t="s">
        <v>376</v>
      </c>
      <c r="B39" s="294">
        <v>2080</v>
      </c>
      <c r="C39" s="294">
        <v>120</v>
      </c>
      <c r="D39" s="294">
        <f t="shared" si="7"/>
        <v>294</v>
      </c>
      <c r="E39" s="285">
        <f t="shared" si="8"/>
        <v>0</v>
      </c>
      <c r="F39" s="294">
        <f t="shared" si="9"/>
        <v>1666</v>
      </c>
      <c r="H39" s="287">
        <v>102.1</v>
      </c>
      <c r="I39" s="280">
        <f t="shared" si="10"/>
        <v>170098.59999999998</v>
      </c>
      <c r="J39" s="342">
        <v>0.15</v>
      </c>
      <c r="K39" s="342">
        <v>0</v>
      </c>
      <c r="L39" s="284">
        <f t="shared" si="11"/>
        <v>0.8009615384615385</v>
      </c>
      <c r="N39" s="280">
        <f t="shared" si="6"/>
        <v>5312.4231719999998</v>
      </c>
    </row>
    <row r="40" spans="1:23">
      <c r="A40" s="282" t="s">
        <v>366</v>
      </c>
      <c r="B40" s="343">
        <v>500</v>
      </c>
      <c r="C40" s="294">
        <v>0</v>
      </c>
      <c r="D40" s="294">
        <f t="shared" si="7"/>
        <v>0</v>
      </c>
      <c r="E40" s="285">
        <f t="shared" si="8"/>
        <v>0</v>
      </c>
      <c r="F40" s="294">
        <f t="shared" si="9"/>
        <v>500</v>
      </c>
      <c r="H40" s="287">
        <v>76.14</v>
      </c>
      <c r="I40" s="280">
        <f t="shared" si="10"/>
        <v>38070</v>
      </c>
      <c r="J40" s="342">
        <v>0</v>
      </c>
      <c r="K40" s="342">
        <v>0</v>
      </c>
      <c r="L40" s="284">
        <f t="shared" si="11"/>
        <v>1</v>
      </c>
      <c r="N40" s="280">
        <f t="shared" si="6"/>
        <v>0</v>
      </c>
    </row>
    <row r="41" spans="1:23">
      <c r="A41" s="282" t="s">
        <v>319</v>
      </c>
      <c r="B41" s="343">
        <v>500</v>
      </c>
      <c r="C41" s="294">
        <v>0</v>
      </c>
      <c r="D41" s="294">
        <f t="shared" si="7"/>
        <v>0</v>
      </c>
      <c r="E41" s="285">
        <f t="shared" si="8"/>
        <v>25</v>
      </c>
      <c r="F41" s="294">
        <f t="shared" si="9"/>
        <v>475</v>
      </c>
      <c r="H41" s="287">
        <v>201.22</v>
      </c>
      <c r="I41" s="280">
        <f t="shared" si="10"/>
        <v>95579.5</v>
      </c>
      <c r="J41" s="342">
        <v>0</v>
      </c>
      <c r="K41" s="342">
        <v>0.05</v>
      </c>
      <c r="L41" s="284">
        <f t="shared" si="11"/>
        <v>0.95</v>
      </c>
      <c r="M41" s="282"/>
      <c r="N41" s="280">
        <f t="shared" si="6"/>
        <v>0</v>
      </c>
    </row>
    <row r="42" spans="1:23">
      <c r="B42" s="294"/>
      <c r="C42" s="294"/>
      <c r="D42" s="294"/>
      <c r="E42" s="285"/>
      <c r="F42" s="294"/>
      <c r="H42" s="287"/>
      <c r="J42" s="284"/>
      <c r="K42" s="284"/>
    </row>
    <row r="43" spans="1:23">
      <c r="B43" s="294"/>
      <c r="C43" s="294"/>
      <c r="D43" s="294"/>
      <c r="E43" s="285"/>
      <c r="F43" s="294"/>
      <c r="H43" s="287"/>
      <c r="J43" s="284"/>
      <c r="K43" s="284"/>
    </row>
    <row r="44" spans="1:23">
      <c r="B44" s="294"/>
      <c r="C44" s="294"/>
      <c r="D44" s="294"/>
      <c r="E44" s="285"/>
      <c r="F44" s="294"/>
      <c r="H44" s="287"/>
      <c r="J44" s="287"/>
      <c r="O44" s="295" t="s">
        <v>293</v>
      </c>
      <c r="P44" s="295">
        <f>I46-P26</f>
        <v>139350.21274499944</v>
      </c>
    </row>
    <row r="45" spans="1:23">
      <c r="B45" s="296">
        <f>SUM(B30:B41)</f>
        <v>20220</v>
      </c>
      <c r="C45" s="282">
        <f>SUM(C30:C41)</f>
        <v>1080</v>
      </c>
      <c r="D45" s="282">
        <f>SUM(D30:D41)</f>
        <v>3440</v>
      </c>
      <c r="E45" s="282">
        <f>SUM(E30:E41)</f>
        <v>1495</v>
      </c>
      <c r="F45" s="282">
        <f>SUM(F30:F41)</f>
        <v>14205</v>
      </c>
      <c r="M45" s="325">
        <f>SUM(N30:N41)</f>
        <v>63357.236804076936</v>
      </c>
      <c r="O45" s="295"/>
      <c r="P45" s="295"/>
    </row>
    <row r="46" spans="1:23">
      <c r="F46" s="282">
        <f>+F45/B45</f>
        <v>0.70252225519287836</v>
      </c>
      <c r="I46" s="289">
        <f>SUM(I30:I45)</f>
        <v>2029126.2999999998</v>
      </c>
      <c r="J46" s="289" t="s">
        <v>284</v>
      </c>
      <c r="O46" s="295" t="s">
        <v>294</v>
      </c>
      <c r="P46" s="297">
        <f>(I46-P26)/I46</f>
        <v>6.8674982303959811E-2</v>
      </c>
    </row>
    <row r="47" spans="1:23">
      <c r="J47" s="280" t="s">
        <v>10</v>
      </c>
      <c r="O47" s="295"/>
      <c r="P47" s="297"/>
    </row>
    <row r="48" spans="1:23">
      <c r="I48" s="337">
        <f>+I46/F45</f>
        <v>142.84592045054558</v>
      </c>
      <c r="J48" s="289" t="s">
        <v>369</v>
      </c>
    </row>
    <row r="49" spans="1:20" ht="13.5" thickBot="1">
      <c r="A49" s="286" t="s">
        <v>295</v>
      </c>
    </row>
    <row r="50" spans="1:20">
      <c r="A50" s="285">
        <v>1</v>
      </c>
      <c r="B50" s="292" t="s">
        <v>296</v>
      </c>
      <c r="C50" s="292"/>
      <c r="N50" s="367" t="s">
        <v>324</v>
      </c>
      <c r="O50" s="368"/>
      <c r="P50" s="280" t="s">
        <v>10</v>
      </c>
      <c r="Q50" s="292" t="s">
        <v>327</v>
      </c>
      <c r="T50" s="282" t="s">
        <v>329</v>
      </c>
    </row>
    <row r="51" spans="1:20" ht="15">
      <c r="A51" s="285">
        <v>2</v>
      </c>
      <c r="B51" s="292" t="s">
        <v>383</v>
      </c>
      <c r="C51" s="292"/>
      <c r="N51" s="320" t="s">
        <v>201</v>
      </c>
      <c r="O51" s="321">
        <f>$I$46/12</f>
        <v>169093.85833333331</v>
      </c>
      <c r="P51" s="300">
        <f t="shared" ref="P51:P62" si="12">O51/O$64</f>
        <v>8.3333333333333315E-2</v>
      </c>
      <c r="Q51" s="301">
        <f t="shared" ref="Q51:Q62" si="13">F$45*P51</f>
        <v>1183.7499999999998</v>
      </c>
      <c r="T51" s="282">
        <f>(D$45+C$45+E$45)*P51</f>
        <v>501.24999999999989</v>
      </c>
    </row>
    <row r="52" spans="1:20" ht="15">
      <c r="A52" s="285">
        <v>3</v>
      </c>
      <c r="B52" s="292" t="s">
        <v>401</v>
      </c>
      <c r="C52" s="292"/>
      <c r="N52" s="320" t="s">
        <v>202</v>
      </c>
      <c r="O52" s="321">
        <f t="shared" ref="O52:O62" si="14">$I$46/12</f>
        <v>169093.85833333331</v>
      </c>
      <c r="P52" s="300">
        <f t="shared" si="12"/>
        <v>8.3333333333333315E-2</v>
      </c>
      <c r="Q52" s="301">
        <f t="shared" si="13"/>
        <v>1183.7499999999998</v>
      </c>
      <c r="T52" s="282">
        <f t="shared" ref="T52:T62" si="15">(D$45+C$45+E$45)*P52</f>
        <v>501.24999999999989</v>
      </c>
    </row>
    <row r="53" spans="1:20" ht="15">
      <c r="A53" s="285">
        <v>4</v>
      </c>
      <c r="B53" s="292" t="s">
        <v>400</v>
      </c>
      <c r="C53" s="292"/>
      <c r="N53" s="320" t="s">
        <v>203</v>
      </c>
      <c r="O53" s="321">
        <f t="shared" si="14"/>
        <v>169093.85833333331</v>
      </c>
      <c r="P53" s="300">
        <f t="shared" si="12"/>
        <v>8.3333333333333315E-2</v>
      </c>
      <c r="Q53" s="301">
        <f t="shared" si="13"/>
        <v>1183.7499999999998</v>
      </c>
      <c r="T53" s="282">
        <f t="shared" si="15"/>
        <v>501.24999999999989</v>
      </c>
    </row>
    <row r="54" spans="1:20" ht="15">
      <c r="A54" s="285">
        <v>5</v>
      </c>
      <c r="B54" s="292" t="s">
        <v>384</v>
      </c>
      <c r="C54" s="292"/>
      <c r="N54" s="320" t="s">
        <v>204</v>
      </c>
      <c r="O54" s="321">
        <f t="shared" si="14"/>
        <v>169093.85833333331</v>
      </c>
      <c r="P54" s="300">
        <f t="shared" si="12"/>
        <v>8.3333333333333315E-2</v>
      </c>
      <c r="Q54" s="301">
        <f t="shared" si="13"/>
        <v>1183.7499999999998</v>
      </c>
      <c r="T54" s="282">
        <f t="shared" si="15"/>
        <v>501.24999999999989</v>
      </c>
    </row>
    <row r="55" spans="1:20" ht="15">
      <c r="A55" s="285">
        <v>6</v>
      </c>
      <c r="B55" s="292" t="s">
        <v>323</v>
      </c>
      <c r="C55" s="292"/>
      <c r="N55" s="320" t="s">
        <v>185</v>
      </c>
      <c r="O55" s="321">
        <f t="shared" si="14"/>
        <v>169093.85833333331</v>
      </c>
      <c r="P55" s="300">
        <f t="shared" si="12"/>
        <v>8.3333333333333315E-2</v>
      </c>
      <c r="Q55" s="301">
        <f t="shared" si="13"/>
        <v>1183.7499999999998</v>
      </c>
      <c r="T55" s="282">
        <f t="shared" si="15"/>
        <v>501.24999999999989</v>
      </c>
    </row>
    <row r="56" spans="1:20" ht="15">
      <c r="A56" s="285">
        <v>7</v>
      </c>
      <c r="B56" s="292" t="s">
        <v>385</v>
      </c>
      <c r="C56" s="292"/>
      <c r="N56" s="320" t="s">
        <v>205</v>
      </c>
      <c r="O56" s="321">
        <f t="shared" si="14"/>
        <v>169093.85833333331</v>
      </c>
      <c r="P56" s="300">
        <f t="shared" si="12"/>
        <v>8.3333333333333315E-2</v>
      </c>
      <c r="Q56" s="301">
        <f t="shared" si="13"/>
        <v>1183.7499999999998</v>
      </c>
      <c r="T56" s="282">
        <f t="shared" si="15"/>
        <v>501.24999999999989</v>
      </c>
    </row>
    <row r="57" spans="1:20" ht="15">
      <c r="A57" s="285"/>
      <c r="C57" s="292"/>
      <c r="N57" s="320" t="s">
        <v>325</v>
      </c>
      <c r="O57" s="321">
        <f t="shared" si="14"/>
        <v>169093.85833333331</v>
      </c>
      <c r="P57" s="300">
        <f t="shared" si="12"/>
        <v>8.3333333333333315E-2</v>
      </c>
      <c r="Q57" s="301">
        <f t="shared" si="13"/>
        <v>1183.7499999999998</v>
      </c>
      <c r="T57" s="282">
        <f t="shared" si="15"/>
        <v>501.24999999999989</v>
      </c>
    </row>
    <row r="58" spans="1:20" ht="15">
      <c r="A58" s="285"/>
      <c r="B58" s="292"/>
      <c r="N58" s="320" t="s">
        <v>206</v>
      </c>
      <c r="O58" s="321">
        <f t="shared" si="14"/>
        <v>169093.85833333331</v>
      </c>
      <c r="P58" s="300">
        <f t="shared" si="12"/>
        <v>8.3333333333333315E-2</v>
      </c>
      <c r="Q58" s="301">
        <f t="shared" si="13"/>
        <v>1183.7499999999998</v>
      </c>
      <c r="T58" s="282">
        <f t="shared" si="15"/>
        <v>501.24999999999989</v>
      </c>
    </row>
    <row r="59" spans="1:20" ht="15">
      <c r="N59" s="320" t="s">
        <v>326</v>
      </c>
      <c r="O59" s="321">
        <f t="shared" si="14"/>
        <v>169093.85833333331</v>
      </c>
      <c r="P59" s="300">
        <f t="shared" si="12"/>
        <v>8.3333333333333315E-2</v>
      </c>
      <c r="Q59" s="301">
        <f t="shared" si="13"/>
        <v>1183.7499999999998</v>
      </c>
      <c r="T59" s="282">
        <f t="shared" si="15"/>
        <v>501.24999999999989</v>
      </c>
    </row>
    <row r="60" spans="1:20" ht="15">
      <c r="N60" s="320" t="s">
        <v>207</v>
      </c>
      <c r="O60" s="321">
        <f t="shared" si="14"/>
        <v>169093.85833333331</v>
      </c>
      <c r="P60" s="300">
        <f t="shared" si="12"/>
        <v>8.3333333333333315E-2</v>
      </c>
      <c r="Q60" s="301">
        <f t="shared" si="13"/>
        <v>1183.7499999999998</v>
      </c>
      <c r="T60" s="282">
        <f t="shared" si="15"/>
        <v>501.24999999999989</v>
      </c>
    </row>
    <row r="61" spans="1:20" ht="15">
      <c r="N61" s="320" t="s">
        <v>208</v>
      </c>
      <c r="O61" s="321">
        <f t="shared" si="14"/>
        <v>169093.85833333331</v>
      </c>
      <c r="P61" s="300">
        <f t="shared" si="12"/>
        <v>8.3333333333333315E-2</v>
      </c>
      <c r="Q61" s="301">
        <f t="shared" si="13"/>
        <v>1183.7499999999998</v>
      </c>
      <c r="T61" s="282">
        <f t="shared" si="15"/>
        <v>501.24999999999989</v>
      </c>
    </row>
    <row r="62" spans="1:20" ht="15">
      <c r="N62" s="320" t="s">
        <v>209</v>
      </c>
      <c r="O62" s="321">
        <f t="shared" si="14"/>
        <v>169093.85833333331</v>
      </c>
      <c r="P62" s="302">
        <f t="shared" si="12"/>
        <v>8.3333333333333315E-2</v>
      </c>
      <c r="Q62" s="303">
        <f t="shared" si="13"/>
        <v>1183.7499999999998</v>
      </c>
      <c r="R62" s="304"/>
      <c r="S62" s="305"/>
      <c r="T62" s="282">
        <f t="shared" si="15"/>
        <v>501.24999999999989</v>
      </c>
    </row>
    <row r="63" spans="1:20">
      <c r="N63" s="298"/>
      <c r="O63" s="299"/>
      <c r="Q63" s="301"/>
    </row>
    <row r="64" spans="1:20" ht="13.5" thickBot="1">
      <c r="N64" s="306" t="s">
        <v>27</v>
      </c>
      <c r="O64" s="307">
        <f>SUM(O51:O62)</f>
        <v>2029126.3</v>
      </c>
      <c r="P64" s="308">
        <f>SUM(P51:P62)</f>
        <v>0.99999999999999956</v>
      </c>
      <c r="Q64" s="301">
        <f>SUM(Q51:Q62)</f>
        <v>14204.999999999998</v>
      </c>
      <c r="T64" s="282">
        <f>SUM(T51:T63)</f>
        <v>6014.9999999999991</v>
      </c>
    </row>
  </sheetData>
  <sheetProtection algorithmName="SHA-512" hashValue="+oMlkXGQhL8drRUXJ5G5o0gHvyeHgSp7VU9ymHwbNNcRbpaeQ5300qYUrODJwcrWNmfqW4HpOSdBkt+fu6I7sw==" saltValue="9PwZtxeEOjro7T/BbUs3pw==" spinCount="100000" sheet="1" objects="1" scenarios="1"/>
  <mergeCells count="2">
    <mergeCell ref="N50:O50"/>
    <mergeCell ref="O22:O24"/>
  </mergeCells>
  <printOptions gridLines="1"/>
  <pageMargins left="0.41" right="0.39" top="1.0900000000000001" bottom="0.47" header="0.17" footer="0.17"/>
  <pageSetup scale="39" orientation="portrait" r:id="rId1"/>
  <headerFooter alignWithMargins="0">
    <oddHeader>&amp;C&amp;"Arial,Bold"&amp;11CVR ENGINEERING
2024 Budget
&amp;A&amp;R&amp;"Arial,Bold"&amp;8&amp;F
&amp;D
&amp;T</oddHeader>
    <oddFooter>&amp;R&amp;A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rgb="FF92D050"/>
    <pageSetUpPr fitToPage="1"/>
  </sheetPr>
  <dimension ref="A1:AZ38"/>
  <sheetViews>
    <sheetView zoomScale="85" zoomScaleNormal="85" workbookViewId="0">
      <pane xSplit="1" ySplit="6" topLeftCell="B15" activePane="bottomRight" state="frozen"/>
      <selection activeCell="S25" sqref="S25"/>
      <selection pane="topRight" activeCell="S25" sqref="S25"/>
      <selection pane="bottomLeft" activeCell="S25" sqref="S25"/>
      <selection pane="bottomRight" activeCell="S25" sqref="S25"/>
    </sheetView>
  </sheetViews>
  <sheetFormatPr defaultRowHeight="15"/>
  <cols>
    <col min="1" max="1" width="65" customWidth="1"/>
    <col min="2" max="2" width="14" customWidth="1"/>
    <col min="3" max="4" width="13.109375" customWidth="1"/>
    <col min="5" max="5" width="1.5546875" customWidth="1"/>
    <col min="6" max="6" width="14" customWidth="1"/>
    <col min="7" max="7" width="13.109375" customWidth="1"/>
    <col min="8" max="8" width="12.6640625" customWidth="1"/>
    <col min="9" max="9" width="1.21875" customWidth="1"/>
    <col min="10" max="10" width="14" customWidth="1"/>
    <col min="11" max="11" width="16.44140625" customWidth="1"/>
    <col min="12" max="12" width="14.88671875" customWidth="1"/>
    <col min="13" max="13" width="1.109375" customWidth="1"/>
    <col min="14" max="14" width="14" customWidth="1"/>
    <col min="15" max="15" width="13.109375" customWidth="1"/>
    <col min="16" max="16" width="12.6640625" customWidth="1"/>
    <col min="17" max="17" width="1.5546875" customWidth="1"/>
    <col min="18" max="18" width="14" customWidth="1"/>
    <col min="19" max="19" width="13.109375" customWidth="1"/>
    <col min="20" max="20" width="12.6640625" customWidth="1"/>
    <col min="21" max="21" width="1.21875" customWidth="1"/>
    <col min="22" max="22" width="14" customWidth="1"/>
    <col min="23" max="23" width="13.109375" customWidth="1"/>
    <col min="24" max="24" width="12.6640625" customWidth="1"/>
    <col min="25" max="25" width="1.6640625" customWidth="1"/>
    <col min="26" max="26" width="14" customWidth="1"/>
    <col min="27" max="27" width="13.109375" customWidth="1"/>
    <col min="28" max="28" width="12.6640625" customWidth="1"/>
    <col min="29" max="29" width="1.44140625" customWidth="1"/>
    <col min="30" max="30" width="14" customWidth="1"/>
    <col min="31" max="31" width="13.109375" customWidth="1"/>
    <col min="32" max="32" width="12.6640625" customWidth="1"/>
    <col min="33" max="33" width="1.6640625" customWidth="1"/>
    <col min="34" max="34" width="14" customWidth="1"/>
    <col min="35" max="35" width="13.109375" customWidth="1"/>
    <col min="36" max="36" width="12.6640625" customWidth="1"/>
    <col min="37" max="37" width="1.33203125" customWidth="1"/>
    <col min="38" max="38" width="14" customWidth="1"/>
    <col min="39" max="39" width="13.109375" customWidth="1"/>
    <col min="40" max="40" width="12.6640625" customWidth="1"/>
    <col min="41" max="41" width="0.88671875" customWidth="1"/>
    <col min="42" max="44" width="14.21875" customWidth="1"/>
    <col min="45" max="45" width="1.33203125" customWidth="1"/>
    <col min="46" max="48" width="14.21875" customWidth="1"/>
    <col min="49" max="49" width="2" customWidth="1"/>
    <col min="50" max="50" width="17.5546875" bestFit="1" customWidth="1"/>
    <col min="51" max="51" width="11.5546875" bestFit="1" customWidth="1"/>
    <col min="52" max="52" width="17.5546875" bestFit="1" customWidth="1"/>
  </cols>
  <sheetData>
    <row r="1" spans="1:52" ht="15.75" thickBot="1"/>
    <row r="2" spans="1:52" ht="16.5" thickBot="1">
      <c r="B2" s="370" t="s">
        <v>181</v>
      </c>
      <c r="C2" s="371"/>
      <c r="D2" s="372"/>
      <c r="E2" s="7"/>
      <c r="F2" s="370" t="s">
        <v>182</v>
      </c>
      <c r="G2" s="371"/>
      <c r="H2" s="372"/>
      <c r="J2" s="370" t="s">
        <v>183</v>
      </c>
      <c r="K2" s="371"/>
      <c r="L2" s="372"/>
      <c r="N2" s="370" t="s">
        <v>200</v>
      </c>
      <c r="O2" s="371"/>
      <c r="P2" s="372"/>
      <c r="R2" s="370" t="s">
        <v>185</v>
      </c>
      <c r="S2" s="371"/>
      <c r="T2" s="372"/>
      <c r="V2" s="370" t="s">
        <v>186</v>
      </c>
      <c r="W2" s="371"/>
      <c r="X2" s="372"/>
      <c r="Z2" s="370" t="s">
        <v>187</v>
      </c>
      <c r="AA2" s="371"/>
      <c r="AB2" s="372"/>
      <c r="AD2" s="370" t="s">
        <v>188</v>
      </c>
      <c r="AE2" s="371"/>
      <c r="AF2" s="372"/>
      <c r="AH2" s="370" t="s">
        <v>189</v>
      </c>
      <c r="AI2" s="371"/>
      <c r="AJ2" s="372"/>
      <c r="AL2" s="370" t="s">
        <v>190</v>
      </c>
      <c r="AM2" s="371"/>
      <c r="AN2" s="372"/>
      <c r="AP2" s="370" t="s">
        <v>191</v>
      </c>
      <c r="AQ2" s="371"/>
      <c r="AR2" s="372"/>
      <c r="AT2" s="370" t="s">
        <v>192</v>
      </c>
      <c r="AU2" s="371"/>
      <c r="AV2" s="372"/>
      <c r="AW2" s="7"/>
    </row>
    <row r="3" spans="1:52" ht="15.75">
      <c r="B3" s="57">
        <v>2026</v>
      </c>
      <c r="C3" s="57">
        <f>B3</f>
        <v>2026</v>
      </c>
      <c r="D3" s="57">
        <f>B3</f>
        <v>2026</v>
      </c>
      <c r="E3" s="7"/>
      <c r="F3" s="57">
        <f>+B3</f>
        <v>2026</v>
      </c>
      <c r="G3" s="57">
        <f>F3</f>
        <v>2026</v>
      </c>
      <c r="H3" s="57">
        <f>F3</f>
        <v>2026</v>
      </c>
      <c r="J3" s="57">
        <f>+B3</f>
        <v>2026</v>
      </c>
      <c r="K3" s="57">
        <f>J3</f>
        <v>2026</v>
      </c>
      <c r="L3" s="57">
        <f>J3</f>
        <v>2026</v>
      </c>
      <c r="N3" s="57">
        <f>+B3</f>
        <v>2026</v>
      </c>
      <c r="O3" s="57">
        <f>N3</f>
        <v>2026</v>
      </c>
      <c r="P3" s="57">
        <f>N3</f>
        <v>2026</v>
      </c>
      <c r="R3" s="57">
        <f>+B3</f>
        <v>2026</v>
      </c>
      <c r="S3" s="57">
        <f>R3</f>
        <v>2026</v>
      </c>
      <c r="T3" s="57">
        <f>R3</f>
        <v>2026</v>
      </c>
      <c r="V3" s="57">
        <f>+B3</f>
        <v>2026</v>
      </c>
      <c r="W3" s="57">
        <f>V3</f>
        <v>2026</v>
      </c>
      <c r="X3" s="57">
        <f>V3</f>
        <v>2026</v>
      </c>
      <c r="Z3" s="57">
        <f>+B3</f>
        <v>2026</v>
      </c>
      <c r="AA3" s="57">
        <f>Z3</f>
        <v>2026</v>
      </c>
      <c r="AB3" s="57">
        <f>Z3</f>
        <v>2026</v>
      </c>
      <c r="AD3" s="57">
        <f>+B3</f>
        <v>2026</v>
      </c>
      <c r="AE3" s="57">
        <f>AD3</f>
        <v>2026</v>
      </c>
      <c r="AF3" s="57">
        <f>AD3</f>
        <v>2026</v>
      </c>
      <c r="AH3" s="57">
        <f>+B3</f>
        <v>2026</v>
      </c>
      <c r="AI3" s="57">
        <f>AH3</f>
        <v>2026</v>
      </c>
      <c r="AJ3" s="57">
        <f>AH3</f>
        <v>2026</v>
      </c>
      <c r="AL3" s="57">
        <f>+B3</f>
        <v>2026</v>
      </c>
      <c r="AM3" s="57">
        <f>AL3</f>
        <v>2026</v>
      </c>
      <c r="AN3" s="57">
        <f>AL3</f>
        <v>2026</v>
      </c>
      <c r="AP3" s="57">
        <f>+B3</f>
        <v>2026</v>
      </c>
      <c r="AQ3" s="57">
        <f>AP3</f>
        <v>2026</v>
      </c>
      <c r="AR3" s="57">
        <f>AP3</f>
        <v>2026</v>
      </c>
      <c r="AT3" s="57">
        <f>+B3</f>
        <v>2026</v>
      </c>
      <c r="AU3" s="57">
        <f>AT3</f>
        <v>2026</v>
      </c>
      <c r="AV3" s="57">
        <f>AT3</f>
        <v>2026</v>
      </c>
      <c r="AW3" s="7"/>
      <c r="AX3" s="7">
        <f>+B3</f>
        <v>2026</v>
      </c>
      <c r="AY3" s="7">
        <f>AX3</f>
        <v>2026</v>
      </c>
      <c r="AZ3" s="7">
        <f>+AX3</f>
        <v>2026</v>
      </c>
    </row>
    <row r="4" spans="1:52" s="7" customFormat="1" ht="15.75">
      <c r="B4" s="57" t="s">
        <v>0</v>
      </c>
      <c r="C4" s="57" t="s">
        <v>0</v>
      </c>
      <c r="D4" s="57" t="s">
        <v>0</v>
      </c>
      <c r="F4" s="57" t="s">
        <v>0</v>
      </c>
      <c r="G4" s="57" t="s">
        <v>0</v>
      </c>
      <c r="H4" s="57" t="s">
        <v>0</v>
      </c>
      <c r="I4"/>
      <c r="J4" s="57" t="s">
        <v>0</v>
      </c>
      <c r="K4" s="57" t="s">
        <v>0</v>
      </c>
      <c r="L4" s="57" t="s">
        <v>0</v>
      </c>
      <c r="N4" s="57" t="s">
        <v>0</v>
      </c>
      <c r="O4" s="57" t="s">
        <v>0</v>
      </c>
      <c r="P4" s="57" t="s">
        <v>0</v>
      </c>
      <c r="R4" s="57" t="s">
        <v>0</v>
      </c>
      <c r="S4" s="57" t="s">
        <v>0</v>
      </c>
      <c r="T4" s="57" t="s">
        <v>0</v>
      </c>
      <c r="V4" s="57" t="s">
        <v>0</v>
      </c>
      <c r="W4" s="57" t="s">
        <v>0</v>
      </c>
      <c r="X4" s="57" t="s">
        <v>0</v>
      </c>
      <c r="Z4" s="57" t="s">
        <v>0</v>
      </c>
      <c r="AA4" s="57" t="s">
        <v>0</v>
      </c>
      <c r="AB4" s="57" t="s">
        <v>0</v>
      </c>
      <c r="AD4" s="57" t="s">
        <v>0</v>
      </c>
      <c r="AE4" s="57" t="s">
        <v>0</v>
      </c>
      <c r="AF4" s="57" t="s">
        <v>0</v>
      </c>
      <c r="AH4" s="57" t="s">
        <v>0</v>
      </c>
      <c r="AI4" s="57" t="s">
        <v>0</v>
      </c>
      <c r="AJ4" s="57" t="s">
        <v>0</v>
      </c>
      <c r="AL4" s="57" t="s">
        <v>0</v>
      </c>
      <c r="AM4" s="57" t="s">
        <v>0</v>
      </c>
      <c r="AN4" s="57" t="s">
        <v>0</v>
      </c>
      <c r="AP4" s="57" t="s">
        <v>0</v>
      </c>
      <c r="AQ4" s="57" t="s">
        <v>0</v>
      </c>
      <c r="AR4" s="57" t="s">
        <v>0</v>
      </c>
      <c r="AT4" s="57" t="s">
        <v>0</v>
      </c>
      <c r="AU4" s="57" t="s">
        <v>0</v>
      </c>
      <c r="AV4" s="57" t="s">
        <v>0</v>
      </c>
      <c r="AX4" s="7" t="s">
        <v>212</v>
      </c>
      <c r="AY4" s="7" t="s">
        <v>0</v>
      </c>
      <c r="AZ4" s="7" t="s">
        <v>212</v>
      </c>
    </row>
    <row r="5" spans="1:52" ht="15.75">
      <c r="B5" s="57" t="s">
        <v>1</v>
      </c>
      <c r="C5" s="57" t="s">
        <v>2</v>
      </c>
      <c r="D5" s="57" t="s">
        <v>1</v>
      </c>
      <c r="E5" s="7"/>
      <c r="F5" s="57" t="s">
        <v>1</v>
      </c>
      <c r="G5" s="57" t="s">
        <v>2</v>
      </c>
      <c r="H5" s="57" t="s">
        <v>1</v>
      </c>
      <c r="J5" s="57" t="s">
        <v>1</v>
      </c>
      <c r="K5" s="57" t="s">
        <v>2</v>
      </c>
      <c r="L5" s="57" t="s">
        <v>1</v>
      </c>
      <c r="N5" s="57" t="s">
        <v>1</v>
      </c>
      <c r="O5" s="57" t="s">
        <v>2</v>
      </c>
      <c r="P5" s="57" t="s">
        <v>1</v>
      </c>
      <c r="R5" s="57" t="s">
        <v>1</v>
      </c>
      <c r="S5" s="57" t="s">
        <v>2</v>
      </c>
      <c r="T5" s="57" t="s">
        <v>1</v>
      </c>
      <c r="V5" s="57" t="s">
        <v>1</v>
      </c>
      <c r="W5" s="57" t="s">
        <v>2</v>
      </c>
      <c r="X5" s="57" t="s">
        <v>1</v>
      </c>
      <c r="Z5" s="57" t="s">
        <v>1</v>
      </c>
      <c r="AA5" s="57" t="s">
        <v>2</v>
      </c>
      <c r="AB5" s="57" t="s">
        <v>1</v>
      </c>
      <c r="AD5" s="57" t="s">
        <v>1</v>
      </c>
      <c r="AE5" s="57" t="s">
        <v>2</v>
      </c>
      <c r="AF5" s="57" t="s">
        <v>1</v>
      </c>
      <c r="AH5" s="57" t="s">
        <v>1</v>
      </c>
      <c r="AI5" s="57" t="s">
        <v>2</v>
      </c>
      <c r="AJ5" s="57" t="s">
        <v>1</v>
      </c>
      <c r="AL5" s="57" t="s">
        <v>1</v>
      </c>
      <c r="AM5" s="57" t="s">
        <v>2</v>
      </c>
      <c r="AN5" s="57" t="s">
        <v>1</v>
      </c>
      <c r="AP5" s="57" t="s">
        <v>1</v>
      </c>
      <c r="AQ5" s="57" t="s">
        <v>2</v>
      </c>
      <c r="AR5" s="57" t="s">
        <v>1</v>
      </c>
      <c r="AT5" s="57" t="s">
        <v>1</v>
      </c>
      <c r="AU5" s="57" t="s">
        <v>2</v>
      </c>
      <c r="AV5" s="57" t="s">
        <v>1</v>
      </c>
      <c r="AW5" s="7"/>
      <c r="AX5" s="7" t="s">
        <v>1</v>
      </c>
      <c r="AY5" s="7" t="s">
        <v>2</v>
      </c>
      <c r="AZ5" s="7" t="s">
        <v>1</v>
      </c>
    </row>
    <row r="6" spans="1:52" ht="15.75">
      <c r="A6" s="15" t="s">
        <v>111</v>
      </c>
      <c r="B6" s="58" t="s">
        <v>3</v>
      </c>
      <c r="C6" s="58" t="s">
        <v>4</v>
      </c>
      <c r="D6" s="58" t="s">
        <v>2</v>
      </c>
      <c r="E6" s="7"/>
      <c r="F6" s="58" t="s">
        <v>3</v>
      </c>
      <c r="G6" s="58" t="s">
        <v>4</v>
      </c>
      <c r="H6" s="58" t="s">
        <v>2</v>
      </c>
      <c r="J6" s="58" t="s">
        <v>3</v>
      </c>
      <c r="K6" s="58" t="s">
        <v>4</v>
      </c>
      <c r="L6" s="58" t="s">
        <v>2</v>
      </c>
      <c r="N6" s="58" t="s">
        <v>3</v>
      </c>
      <c r="O6" s="58" t="s">
        <v>4</v>
      </c>
      <c r="P6" s="58" t="s">
        <v>2</v>
      </c>
      <c r="R6" s="58" t="s">
        <v>3</v>
      </c>
      <c r="S6" s="58" t="s">
        <v>4</v>
      </c>
      <c r="T6" s="58" t="s">
        <v>2</v>
      </c>
      <c r="V6" s="58" t="s">
        <v>3</v>
      </c>
      <c r="W6" s="58" t="s">
        <v>4</v>
      </c>
      <c r="X6" s="58" t="s">
        <v>2</v>
      </c>
      <c r="Z6" s="58" t="s">
        <v>3</v>
      </c>
      <c r="AA6" s="58" t="s">
        <v>4</v>
      </c>
      <c r="AB6" s="58" t="s">
        <v>2</v>
      </c>
      <c r="AD6" s="58" t="s">
        <v>3</v>
      </c>
      <c r="AE6" s="58" t="s">
        <v>4</v>
      </c>
      <c r="AF6" s="58" t="s">
        <v>2</v>
      </c>
      <c r="AH6" s="58" t="s">
        <v>3</v>
      </c>
      <c r="AI6" s="58" t="s">
        <v>4</v>
      </c>
      <c r="AJ6" s="58" t="s">
        <v>2</v>
      </c>
      <c r="AL6" s="58" t="s">
        <v>3</v>
      </c>
      <c r="AM6" s="58" t="s">
        <v>4</v>
      </c>
      <c r="AN6" s="58" t="s">
        <v>2</v>
      </c>
      <c r="AP6" s="58" t="s">
        <v>3</v>
      </c>
      <c r="AQ6" s="58" t="s">
        <v>4</v>
      </c>
      <c r="AR6" s="58" t="s">
        <v>2</v>
      </c>
      <c r="AT6" s="58" t="s">
        <v>3</v>
      </c>
      <c r="AU6" s="58" t="s">
        <v>4</v>
      </c>
      <c r="AV6" s="58" t="s">
        <v>2</v>
      </c>
      <c r="AW6" s="7"/>
      <c r="AX6" s="12" t="s">
        <v>3</v>
      </c>
      <c r="AY6" s="12" t="s">
        <v>4</v>
      </c>
      <c r="AZ6" s="12" t="s">
        <v>2</v>
      </c>
    </row>
    <row r="7" spans="1:52" ht="15.75">
      <c r="A7" s="8" t="str">
        <f>+'06-60 EPC'!C1</f>
        <v>06-60 EPC</v>
      </c>
      <c r="B7" s="40"/>
      <c r="C7" s="41"/>
      <c r="D7" s="40"/>
      <c r="E7" s="40"/>
      <c r="F7" s="40"/>
      <c r="G7" s="41"/>
      <c r="H7" s="40"/>
      <c r="I7" s="34"/>
      <c r="J7" s="40"/>
      <c r="K7" s="41"/>
      <c r="L7" s="40"/>
      <c r="N7" s="40"/>
      <c r="O7" s="41"/>
      <c r="P7" s="40"/>
      <c r="R7" s="40"/>
      <c r="S7" s="41"/>
      <c r="T7" s="40"/>
      <c r="V7" s="40"/>
      <c r="W7" s="41"/>
      <c r="X7" s="40"/>
      <c r="Z7" s="40"/>
      <c r="AA7" s="41"/>
      <c r="AB7" s="40"/>
      <c r="AD7" s="40"/>
      <c r="AE7" s="41"/>
      <c r="AF7" s="40"/>
      <c r="AH7" s="40"/>
      <c r="AI7" s="41"/>
      <c r="AJ7" s="40"/>
      <c r="AL7" s="40"/>
      <c r="AM7" s="41"/>
      <c r="AN7" s="40"/>
      <c r="AP7" s="40"/>
      <c r="AQ7" s="41"/>
      <c r="AR7" s="40"/>
      <c r="AT7" s="40"/>
      <c r="AU7" s="41"/>
      <c r="AV7" s="40"/>
      <c r="AW7" s="40"/>
      <c r="AX7" s="40"/>
      <c r="AZ7" s="40"/>
    </row>
    <row r="8" spans="1:52" ht="15.75">
      <c r="A8" s="110" t="str">
        <f>+'06-60 EPC'!C6</f>
        <v>Engineering</v>
      </c>
      <c r="B8" s="98">
        <f>'06-60 EPC'!C12</f>
        <v>169093.85833333331</v>
      </c>
      <c r="C8" s="111">
        <f>IF(B8=0,0,B8/D8)</f>
        <v>2.6022328490778577</v>
      </c>
      <c r="D8" s="61">
        <f>+'06-60 EPC'!C67</f>
        <v>64980.295054400834</v>
      </c>
      <c r="E8" s="40"/>
      <c r="F8" s="98">
        <f>'06-60 EPC'!D12</f>
        <v>169093.85833333331</v>
      </c>
      <c r="G8" s="111">
        <f>C8</f>
        <v>2.6022328490778577</v>
      </c>
      <c r="H8" s="61">
        <f>+F8/G8</f>
        <v>64980.295054400834</v>
      </c>
      <c r="I8" s="34"/>
      <c r="J8" s="98">
        <f>'06-60 EPC'!E12</f>
        <v>169093.85833333331</v>
      </c>
      <c r="K8" s="111">
        <f>C8</f>
        <v>2.6022328490778577</v>
      </c>
      <c r="L8" s="61">
        <f>+J8/K8</f>
        <v>64980.295054400834</v>
      </c>
      <c r="N8" s="98">
        <f>'06-60 EPC'!F12</f>
        <v>169093.85833333331</v>
      </c>
      <c r="O8" s="111">
        <f>C8</f>
        <v>2.6022328490778577</v>
      </c>
      <c r="P8" s="61">
        <f>+N8/O8</f>
        <v>64980.295054400834</v>
      </c>
      <c r="R8" s="98">
        <f>'06-60 EPC'!G12</f>
        <v>169093.85833333331</v>
      </c>
      <c r="S8" s="111">
        <f>C8</f>
        <v>2.6022328490778577</v>
      </c>
      <c r="T8" s="61">
        <f>+R8/S8</f>
        <v>64980.295054400834</v>
      </c>
      <c r="V8" s="98">
        <f>'06-60 EPC'!H12</f>
        <v>169093.85833333331</v>
      </c>
      <c r="W8" s="111">
        <f>C8</f>
        <v>2.6022328490778577</v>
      </c>
      <c r="X8" s="61">
        <f>+V8/W8</f>
        <v>64980.295054400834</v>
      </c>
      <c r="Z8" s="98">
        <f>'06-60 EPC'!I12</f>
        <v>169093.85833333331</v>
      </c>
      <c r="AA8" s="111">
        <f>C8</f>
        <v>2.6022328490778577</v>
      </c>
      <c r="AB8" s="61">
        <f>+Z8/AA8</f>
        <v>64980.295054400834</v>
      </c>
      <c r="AD8" s="98">
        <f>'06-60 EPC'!J12</f>
        <v>169093.85833333331</v>
      </c>
      <c r="AE8" s="111">
        <f>C8</f>
        <v>2.6022328490778577</v>
      </c>
      <c r="AF8" s="61">
        <f>+AD8/AE8</f>
        <v>64980.295054400834</v>
      </c>
      <c r="AH8" s="98">
        <f>'06-60 EPC'!K12</f>
        <v>169093.85833333331</v>
      </c>
      <c r="AI8" s="111">
        <f>C8</f>
        <v>2.6022328490778577</v>
      </c>
      <c r="AJ8" s="61">
        <f>+AH8/AI8</f>
        <v>64980.295054400834</v>
      </c>
      <c r="AL8" s="98">
        <f>'06-60 EPC'!L12</f>
        <v>169093.85833333331</v>
      </c>
      <c r="AM8" s="111">
        <f>C8</f>
        <v>2.6022328490778577</v>
      </c>
      <c r="AN8" s="61">
        <f>+AL8/AM8</f>
        <v>64980.295054400834</v>
      </c>
      <c r="AP8" s="98">
        <f>'06-60 EPC'!M12</f>
        <v>169093.85833333331</v>
      </c>
      <c r="AQ8" s="111">
        <f>C8</f>
        <v>2.6022328490778577</v>
      </c>
      <c r="AR8" s="61">
        <f>+AP8/AQ8</f>
        <v>64980.295054400834</v>
      </c>
      <c r="AT8" s="98">
        <f>'06-60 EPC'!N12</f>
        <v>169093.85833333331</v>
      </c>
      <c r="AU8" s="111">
        <f>C8</f>
        <v>2.6022328490778577</v>
      </c>
      <c r="AV8" s="61">
        <f>+AT8/AU8</f>
        <v>64980.295054400834</v>
      </c>
      <c r="AW8" s="40"/>
      <c r="AX8" s="40">
        <f>+B8+F8+J8+N8+R8+V8+Z8+AD8+AH8+AL8+AP8+AT8</f>
        <v>2029126.3</v>
      </c>
      <c r="AY8" s="162">
        <f t="shared" ref="AY8:AY11" si="0">IF(AX8=0,0,AX8/AZ8)</f>
        <v>2.602232849077859</v>
      </c>
      <c r="AZ8" s="40">
        <f>+D8+H8+L8+P8+T8+X8+AB8+AF8+AJ8+AN8+AR8+AV8</f>
        <v>779763.54065280978</v>
      </c>
    </row>
    <row r="9" spans="1:52" ht="15.75">
      <c r="A9" s="110" t="str">
        <f>+'06-60 EPC'!C15</f>
        <v>CUSTOMER NAME</v>
      </c>
      <c r="B9" s="98">
        <f>+'06-60 EPC'!C27</f>
        <v>0</v>
      </c>
      <c r="C9" s="111">
        <f>+'06-60 EPC'!C25</f>
        <v>0</v>
      </c>
      <c r="D9" s="61">
        <f t="shared" ref="D9:D11" si="1">IF(B9=0,0,B9/C9)</f>
        <v>0</v>
      </c>
      <c r="E9" s="40"/>
      <c r="F9" s="98">
        <f>+'06-60 EPC'!D27</f>
        <v>0</v>
      </c>
      <c r="G9" s="111">
        <f>+'06-60 EPC'!D25</f>
        <v>0</v>
      </c>
      <c r="H9" s="61">
        <f t="shared" ref="H9:H11" si="2">IF(F9=0,0,F9/G9)</f>
        <v>0</v>
      </c>
      <c r="I9" s="34"/>
      <c r="J9" s="98">
        <f>+'06-60 EPC'!E27</f>
        <v>0</v>
      </c>
      <c r="K9" s="111">
        <f>+'06-60 EPC'!E25</f>
        <v>0</v>
      </c>
      <c r="L9" s="61">
        <f>IF(J9=0,0,J9/K9)</f>
        <v>0</v>
      </c>
      <c r="N9" s="98">
        <f>+'06-60 EPC'!F27</f>
        <v>0</v>
      </c>
      <c r="O9" s="111">
        <f>+'06-60 EPC'!F25</f>
        <v>0</v>
      </c>
      <c r="P9" s="61">
        <f>IF(N9=0,0,N9/O9)</f>
        <v>0</v>
      </c>
      <c r="R9" s="98">
        <f>+'06-60 EPC'!G27</f>
        <v>0</v>
      </c>
      <c r="S9" s="111">
        <f>+'06-60 EPC'!G25</f>
        <v>0</v>
      </c>
      <c r="T9" s="61">
        <f>IF(R9=0,0,R9/S9)</f>
        <v>0</v>
      </c>
      <c r="V9" s="98">
        <f>+'06-60 EPC'!H27</f>
        <v>0</v>
      </c>
      <c r="W9" s="111">
        <f>+'06-60 EPC'!H25</f>
        <v>0</v>
      </c>
      <c r="X9" s="61">
        <f>IF(V9=0,0,V9/W9)</f>
        <v>0</v>
      </c>
      <c r="Z9" s="98">
        <f>+'06-60 EPC'!I27</f>
        <v>0</v>
      </c>
      <c r="AA9" s="111">
        <f>+'06-60 EPC'!I25</f>
        <v>0</v>
      </c>
      <c r="AB9" s="61">
        <f>IF(Z9=0,0,Z9/AA9)</f>
        <v>0</v>
      </c>
      <c r="AD9" s="98">
        <f>+'06-60 EPC'!J27</f>
        <v>0</v>
      </c>
      <c r="AE9" s="111">
        <f>+'06-60 EPC'!J25</f>
        <v>0</v>
      </c>
      <c r="AF9" s="61">
        <f>IF(AD9=0,0,AD9/AE9)</f>
        <v>0</v>
      </c>
      <c r="AH9" s="98">
        <f>+'06-60 EPC'!K27</f>
        <v>0</v>
      </c>
      <c r="AI9" s="111">
        <f>+'06-60 EPC'!K25</f>
        <v>0</v>
      </c>
      <c r="AJ9" s="61">
        <f>IF(AH9=0,0,AH9/AI9)</f>
        <v>0</v>
      </c>
      <c r="AL9" s="98">
        <f>+'06-60 EPC'!L27</f>
        <v>0</v>
      </c>
      <c r="AM9" s="111">
        <f>+'06-60 EPC'!L25</f>
        <v>0</v>
      </c>
      <c r="AN9" s="61">
        <f>IF(AL9=0,0,AL9/AM9)</f>
        <v>0</v>
      </c>
      <c r="AP9" s="98">
        <f>+'06-60 EPC'!M27</f>
        <v>0</v>
      </c>
      <c r="AQ9" s="111">
        <f>+'06-60 EPC'!M25</f>
        <v>0</v>
      </c>
      <c r="AR9" s="61">
        <f>IF(AP9=0,0,AP9/AQ9)</f>
        <v>0</v>
      </c>
      <c r="AT9" s="98">
        <f>+'06-60 EPC'!N27</f>
        <v>0</v>
      </c>
      <c r="AU9" s="111">
        <f>+'06-60 EPC'!N25</f>
        <v>0</v>
      </c>
      <c r="AV9" s="61">
        <f>IF(AT9=0,0,AT9/AU9)</f>
        <v>0</v>
      </c>
      <c r="AW9" s="40"/>
      <c r="AX9" s="40">
        <f t="shared" ref="AX9:AZ11" si="3">+B9+F9+J9+N9+R9+V9+Z9+AD9+AH9+AL9+AP9+AT9</f>
        <v>0</v>
      </c>
      <c r="AY9" s="162">
        <f t="shared" si="0"/>
        <v>0</v>
      </c>
      <c r="AZ9" s="40">
        <f t="shared" si="3"/>
        <v>0</v>
      </c>
    </row>
    <row r="10" spans="1:52" ht="15.75">
      <c r="A10" s="110" t="str">
        <f>+'06-60 EPC'!C30</f>
        <v>CUSTOMER NAME</v>
      </c>
      <c r="B10" s="98">
        <f>+'06-60 EPC'!C42</f>
        <v>0</v>
      </c>
      <c r="C10" s="111">
        <f>+'06-60 EPC'!C40</f>
        <v>0</v>
      </c>
      <c r="D10" s="61">
        <f t="shared" si="1"/>
        <v>0</v>
      </c>
      <c r="E10" s="40"/>
      <c r="F10" s="98">
        <f>+'06-60 EPC'!D42</f>
        <v>0</v>
      </c>
      <c r="G10" s="111">
        <f>+'06-60 EPC'!D40</f>
        <v>0</v>
      </c>
      <c r="H10" s="61">
        <f t="shared" si="2"/>
        <v>0</v>
      </c>
      <c r="I10" s="34"/>
      <c r="J10" s="98">
        <f>+'06-60 EPC'!E42</f>
        <v>0</v>
      </c>
      <c r="K10" s="111">
        <f>+'06-60 EPC'!E40</f>
        <v>0</v>
      </c>
      <c r="L10" s="61">
        <f>IF(J10=0,0,J10/K10)</f>
        <v>0</v>
      </c>
      <c r="N10" s="98">
        <f>+'06-60 EPC'!F42</f>
        <v>0</v>
      </c>
      <c r="O10" s="111">
        <f>+'06-60 EPC'!F40</f>
        <v>0</v>
      </c>
      <c r="P10" s="61">
        <f>IF(N10=0,0,N10/O10)</f>
        <v>0</v>
      </c>
      <c r="R10" s="98">
        <f>+'06-60 EPC'!G42</f>
        <v>0</v>
      </c>
      <c r="S10" s="111">
        <f>+'06-60 EPC'!G40</f>
        <v>0</v>
      </c>
      <c r="T10" s="61">
        <f>IF(R10=0,0,R10/S10)</f>
        <v>0</v>
      </c>
      <c r="V10" s="98">
        <f>+'06-60 EPC'!H42</f>
        <v>0</v>
      </c>
      <c r="W10" s="111">
        <f>+'06-60 EPC'!H40</f>
        <v>0</v>
      </c>
      <c r="X10" s="61">
        <f>IF(V10=0,0,V10/W10)</f>
        <v>0</v>
      </c>
      <c r="Z10" s="98">
        <f>+'06-60 EPC'!I42</f>
        <v>0</v>
      </c>
      <c r="AA10" s="111">
        <f>+'06-60 EPC'!I40</f>
        <v>0</v>
      </c>
      <c r="AB10" s="61">
        <f>IF(Z10=0,0,Z10/AA10)</f>
        <v>0</v>
      </c>
      <c r="AD10" s="98">
        <f>+'06-60 EPC'!J42</f>
        <v>0</v>
      </c>
      <c r="AE10" s="111">
        <f>+'06-60 EPC'!J40</f>
        <v>0</v>
      </c>
      <c r="AF10" s="61">
        <f>IF(AD10=0,0,AD10/AE10)</f>
        <v>0</v>
      </c>
      <c r="AH10" s="98">
        <f>+'06-60 EPC'!K42</f>
        <v>0</v>
      </c>
      <c r="AI10" s="111">
        <f>+'06-60 EPC'!K40</f>
        <v>0</v>
      </c>
      <c r="AJ10" s="61">
        <f>IF(AH10=0,0,AH10/AI10)</f>
        <v>0</v>
      </c>
      <c r="AL10" s="98">
        <f>+'06-60 EPC'!L42</f>
        <v>0</v>
      </c>
      <c r="AM10" s="111">
        <f>+'06-60 EPC'!L40</f>
        <v>0</v>
      </c>
      <c r="AN10" s="61">
        <f>IF(AL10=0,0,AL10/AM10)</f>
        <v>0</v>
      </c>
      <c r="AP10" s="98">
        <f>+'06-60 EPC'!M42</f>
        <v>0</v>
      </c>
      <c r="AQ10" s="111">
        <f>+'06-60 EPC'!M40</f>
        <v>0</v>
      </c>
      <c r="AR10" s="61">
        <f>IF(AP10=0,0,AP10/AQ10)</f>
        <v>0</v>
      </c>
      <c r="AT10" s="98">
        <f>+'06-60 EPC'!N42</f>
        <v>0</v>
      </c>
      <c r="AU10" s="111">
        <f>+'06-60 EPC'!N40</f>
        <v>0</v>
      </c>
      <c r="AV10" s="61">
        <f>IF(AT10=0,0,AT10/AU10)</f>
        <v>0</v>
      </c>
      <c r="AW10" s="40"/>
      <c r="AX10" s="40">
        <f t="shared" si="3"/>
        <v>0</v>
      </c>
      <c r="AY10" s="162">
        <f t="shared" si="0"/>
        <v>0</v>
      </c>
      <c r="AZ10" s="40">
        <f t="shared" si="3"/>
        <v>0</v>
      </c>
    </row>
    <row r="11" spans="1:52" ht="15.75">
      <c r="A11" s="110" t="str">
        <f>+'06-60 EPC'!C45</f>
        <v>CUSTOMER NAME</v>
      </c>
      <c r="B11" s="98">
        <f>+'06-60 EPC'!C57</f>
        <v>0</v>
      </c>
      <c r="C11" s="111">
        <f>+'06-60 EPC'!C55</f>
        <v>0</v>
      </c>
      <c r="D11" s="61">
        <f t="shared" si="1"/>
        <v>0</v>
      </c>
      <c r="E11" s="40"/>
      <c r="F11" s="98">
        <f>+'06-60 EPC'!D57</f>
        <v>0</v>
      </c>
      <c r="G11" s="111">
        <f>+'06-60 EPC'!D55</f>
        <v>0</v>
      </c>
      <c r="H11" s="61">
        <f t="shared" si="2"/>
        <v>0</v>
      </c>
      <c r="I11" s="34"/>
      <c r="J11" s="98">
        <f>+'06-60 EPC'!E57</f>
        <v>0</v>
      </c>
      <c r="K11" s="111">
        <f>+'06-60 EPC'!E55</f>
        <v>0</v>
      </c>
      <c r="L11" s="61">
        <f>IF(J11=0,0,J11/K11)</f>
        <v>0</v>
      </c>
      <c r="N11" s="98">
        <f>+'06-60 EPC'!F57</f>
        <v>0</v>
      </c>
      <c r="O11" s="111">
        <f>+'06-60 EPC'!F55</f>
        <v>0</v>
      </c>
      <c r="P11" s="61">
        <f>IF(N11=0,0,N11/O11)</f>
        <v>0</v>
      </c>
      <c r="R11" s="98">
        <f>+'06-60 EPC'!G57</f>
        <v>0</v>
      </c>
      <c r="S11" s="111">
        <f>+'06-60 EPC'!G55</f>
        <v>0</v>
      </c>
      <c r="T11" s="61">
        <f>IF(R11=0,0,R11/S11)</f>
        <v>0</v>
      </c>
      <c r="V11" s="98">
        <f>+'06-60 EPC'!H57</f>
        <v>0</v>
      </c>
      <c r="W11" s="111">
        <f>+'06-60 EPC'!H55</f>
        <v>0</v>
      </c>
      <c r="X11" s="61">
        <f>IF(V11=0,0,V11/W11)</f>
        <v>0</v>
      </c>
      <c r="Z11" s="98">
        <f>+'06-60 EPC'!I57</f>
        <v>0</v>
      </c>
      <c r="AA11" s="111">
        <f>+'06-60 EPC'!I55</f>
        <v>0</v>
      </c>
      <c r="AB11" s="61">
        <f>IF(Z11=0,0,Z11/AA11)</f>
        <v>0</v>
      </c>
      <c r="AD11" s="98">
        <f>+'06-60 EPC'!J57</f>
        <v>0</v>
      </c>
      <c r="AE11" s="111">
        <f>+'06-60 EPC'!J55</f>
        <v>0</v>
      </c>
      <c r="AF11" s="61">
        <f>IF(AD11=0,0,AD11/AE11)</f>
        <v>0</v>
      </c>
      <c r="AH11" s="98">
        <f>+'06-60 EPC'!K57</f>
        <v>0</v>
      </c>
      <c r="AI11" s="111">
        <f>+'06-60 EPC'!K55</f>
        <v>0</v>
      </c>
      <c r="AJ11" s="61">
        <f>IF(AH11=0,0,AH11/AI11)</f>
        <v>0</v>
      </c>
      <c r="AL11" s="98">
        <f>+'06-60 EPC'!L57</f>
        <v>0</v>
      </c>
      <c r="AM11" s="111">
        <f>+'06-60 EPC'!L55</f>
        <v>0</v>
      </c>
      <c r="AN11" s="61">
        <f>IF(AL11=0,0,AL11/AM11)</f>
        <v>0</v>
      </c>
      <c r="AP11" s="98">
        <f>+'06-60 EPC'!M57</f>
        <v>0</v>
      </c>
      <c r="AQ11" s="111">
        <f>+'06-60 EPC'!M55</f>
        <v>0</v>
      </c>
      <c r="AR11" s="61">
        <f>IF(AP11=0,0,AP11/AQ11)</f>
        <v>0</v>
      </c>
      <c r="AT11" s="98">
        <f>+'06-60 EPC'!N57</f>
        <v>0</v>
      </c>
      <c r="AU11" s="111">
        <f>+'06-60 EPC'!N55</f>
        <v>0</v>
      </c>
      <c r="AV11" s="61">
        <f>IF(AT11=0,0,AT11/AU11)</f>
        <v>0</v>
      </c>
      <c r="AW11" s="40"/>
      <c r="AX11" s="40">
        <f t="shared" si="3"/>
        <v>0</v>
      </c>
      <c r="AY11" s="162">
        <f t="shared" si="0"/>
        <v>0</v>
      </c>
      <c r="AZ11" s="40">
        <f t="shared" si="3"/>
        <v>0</v>
      </c>
    </row>
    <row r="12" spans="1:52" s="8" customFormat="1" ht="15.75">
      <c r="A12" s="165" t="s">
        <v>168</v>
      </c>
      <c r="B12" s="161">
        <f>SUM(B8:B11)</f>
        <v>169093.85833333331</v>
      </c>
      <c r="C12" s="162">
        <f>IF(B12=0,0,B12/D12)</f>
        <v>2.6022328490778577</v>
      </c>
      <c r="D12" s="161">
        <f>SUM(D8:D11)</f>
        <v>64980.295054400834</v>
      </c>
      <c r="E12" s="164"/>
      <c r="F12" s="161">
        <f>SUM(F8:F11)</f>
        <v>169093.85833333331</v>
      </c>
      <c r="G12" s="162">
        <f>IF(F12=0,0,F12/H12)</f>
        <v>2.6022328490778577</v>
      </c>
      <c r="H12" s="161">
        <f>SUM(H8:H11)</f>
        <v>64980.295054400834</v>
      </c>
      <c r="J12" s="161">
        <f>SUM(J8:J11)</f>
        <v>169093.85833333331</v>
      </c>
      <c r="K12" s="162">
        <f>IF(J12=0,0,J12/L12)</f>
        <v>2.6022328490778577</v>
      </c>
      <c r="L12" s="161">
        <f>SUM(L8:L11)</f>
        <v>64980.295054400834</v>
      </c>
      <c r="N12" s="161">
        <f>SUM(N8:N11)</f>
        <v>169093.85833333331</v>
      </c>
      <c r="O12" s="162">
        <f>IF(N12=0,0,N12/P12)</f>
        <v>2.6022328490778577</v>
      </c>
      <c r="P12" s="161">
        <f>SUM(P8:P11)</f>
        <v>64980.295054400834</v>
      </c>
      <c r="R12" s="161">
        <f>SUM(R8:R11)</f>
        <v>169093.85833333331</v>
      </c>
      <c r="S12" s="162">
        <f>IF(R12=0,0,R12/T12)</f>
        <v>2.6022328490778577</v>
      </c>
      <c r="T12" s="161">
        <f>SUM(T8:T11)</f>
        <v>64980.295054400834</v>
      </c>
      <c r="V12" s="161">
        <f>SUM(V8:V11)</f>
        <v>169093.85833333331</v>
      </c>
      <c r="W12" s="162">
        <f>IF(V12=0,0,V12/X12)</f>
        <v>2.6022328490778577</v>
      </c>
      <c r="X12" s="161">
        <f>SUM(X8:X11)</f>
        <v>64980.295054400834</v>
      </c>
      <c r="Z12" s="161">
        <f>SUM(Z8:Z11)</f>
        <v>169093.85833333331</v>
      </c>
      <c r="AA12" s="162">
        <f>IF(Z12=0,0,Z12/AB12)</f>
        <v>2.6022328490778577</v>
      </c>
      <c r="AB12" s="161">
        <f>SUM(AB8:AB11)</f>
        <v>64980.295054400834</v>
      </c>
      <c r="AD12" s="161">
        <f>SUM(AD8:AD11)</f>
        <v>169093.85833333331</v>
      </c>
      <c r="AE12" s="162">
        <f>IF(AD12=0,0,AD12/AF12)</f>
        <v>2.6022328490778577</v>
      </c>
      <c r="AF12" s="161">
        <f>SUM(AF8:AF11)</f>
        <v>64980.295054400834</v>
      </c>
      <c r="AH12" s="161">
        <f>SUM(AH8:AH11)</f>
        <v>169093.85833333331</v>
      </c>
      <c r="AI12" s="162">
        <f>IF(AH12=0,0,AH12/AJ12)</f>
        <v>2.6022328490778577</v>
      </c>
      <c r="AJ12" s="161">
        <f>SUM(AJ8:AJ11)</f>
        <v>64980.295054400834</v>
      </c>
      <c r="AL12" s="161">
        <f>SUM(AL8:AL11)</f>
        <v>169093.85833333331</v>
      </c>
      <c r="AM12" s="162">
        <f>IF(AL12=0,0,AL12/AN12)</f>
        <v>2.6022328490778577</v>
      </c>
      <c r="AN12" s="161">
        <f>SUM(AN8:AN11)</f>
        <v>64980.295054400834</v>
      </c>
      <c r="AP12" s="161">
        <f>SUM(AP8:AP11)</f>
        <v>169093.85833333331</v>
      </c>
      <c r="AQ12" s="162">
        <f>IF(AP12=0,0,AP12/AR12)</f>
        <v>2.6022328490778577</v>
      </c>
      <c r="AR12" s="161">
        <f>SUM(AR8:AR11)</f>
        <v>64980.295054400834</v>
      </c>
      <c r="AT12" s="161">
        <f>SUM(AT8:AT11)</f>
        <v>169093.85833333331</v>
      </c>
      <c r="AU12" s="162">
        <f>IF(AT12=0,0,AT12/AV12)</f>
        <v>2.6022328490778577</v>
      </c>
      <c r="AV12" s="161">
        <f>SUM(AV8:AV11)</f>
        <v>64980.295054400834</v>
      </c>
      <c r="AW12" s="164"/>
      <c r="AX12" s="161">
        <f>SUM(AX8:AX11)</f>
        <v>2029126.3</v>
      </c>
      <c r="AY12" s="162">
        <f>IF(AX12=0,0,AX12/AZ12)</f>
        <v>2.602232849077859</v>
      </c>
      <c r="AZ12" s="161">
        <f>SUM(AZ8:AZ11)</f>
        <v>779763.54065280978</v>
      </c>
    </row>
    <row r="13" spans="1:52">
      <c r="A13" s="110"/>
      <c r="B13" s="19"/>
      <c r="C13" s="70"/>
      <c r="D13" s="19"/>
      <c r="E13" s="19"/>
      <c r="F13" s="19"/>
      <c r="G13" s="70"/>
      <c r="H13" s="19"/>
      <c r="J13" s="19"/>
      <c r="K13" s="70"/>
      <c r="L13" s="19"/>
      <c r="N13" s="19"/>
      <c r="O13" s="70"/>
      <c r="P13" s="19"/>
      <c r="R13" s="19"/>
      <c r="S13" s="70"/>
      <c r="T13" s="19"/>
      <c r="V13" s="19"/>
      <c r="W13" s="70"/>
      <c r="X13" s="19"/>
      <c r="Z13" s="19"/>
      <c r="AA13" s="70"/>
      <c r="AB13" s="19"/>
      <c r="AD13" s="19"/>
      <c r="AE13" s="70"/>
      <c r="AF13" s="19"/>
      <c r="AH13" s="19"/>
      <c r="AI13" s="70"/>
      <c r="AJ13" s="19"/>
      <c r="AL13" s="19"/>
      <c r="AM13" s="70"/>
      <c r="AN13" s="19"/>
      <c r="AP13" s="19"/>
      <c r="AQ13" s="70"/>
      <c r="AR13" s="19"/>
      <c r="AT13" s="19"/>
      <c r="AU13" s="70"/>
      <c r="AV13" s="19"/>
      <c r="AW13" s="19"/>
      <c r="AX13" s="19"/>
      <c r="AZ13" s="19"/>
    </row>
    <row r="14" spans="1:52" ht="16.5" thickBot="1">
      <c r="A14" s="163" t="s">
        <v>199</v>
      </c>
      <c r="B14" s="52">
        <f>+B12</f>
        <v>169093.85833333331</v>
      </c>
      <c r="C14" s="162">
        <f>IF(B14=0,0,B14/D14)</f>
        <v>2.6022328490778577</v>
      </c>
      <c r="D14" s="52">
        <f>+D12</f>
        <v>64980.295054400834</v>
      </c>
      <c r="E14" s="164"/>
      <c r="F14" s="52">
        <f>+F12</f>
        <v>169093.85833333331</v>
      </c>
      <c r="G14" s="162">
        <f>IF(F14=0,0,F14/H14)</f>
        <v>2.6022328490778577</v>
      </c>
      <c r="H14" s="52">
        <f>+H12</f>
        <v>64980.295054400834</v>
      </c>
      <c r="I14" s="34"/>
      <c r="J14" s="52">
        <f>+J12</f>
        <v>169093.85833333331</v>
      </c>
      <c r="K14" s="162">
        <f>IF(J14=0,0,J14/L14)</f>
        <v>2.6022328490778577</v>
      </c>
      <c r="L14" s="52">
        <f>+L12</f>
        <v>64980.295054400834</v>
      </c>
      <c r="N14" s="52">
        <f>+N12</f>
        <v>169093.85833333331</v>
      </c>
      <c r="O14" s="162">
        <f>IF(N14=0,0,N14/P14)</f>
        <v>2.6022328490778577</v>
      </c>
      <c r="P14" s="52">
        <f>+P12</f>
        <v>64980.295054400834</v>
      </c>
      <c r="R14" s="52">
        <f>+R12</f>
        <v>169093.85833333331</v>
      </c>
      <c r="S14" s="162">
        <f>IF(R14=0,0,R14/T14)</f>
        <v>2.6022328490778577</v>
      </c>
      <c r="T14" s="52">
        <f>+T12</f>
        <v>64980.295054400834</v>
      </c>
      <c r="V14" s="52">
        <f>+V12</f>
        <v>169093.85833333331</v>
      </c>
      <c r="W14" s="162">
        <f>IF(V14=0,0,V14/X14)</f>
        <v>2.6022328490778577</v>
      </c>
      <c r="X14" s="52">
        <f>+X12</f>
        <v>64980.295054400834</v>
      </c>
      <c r="Z14" s="52">
        <f>+Z12</f>
        <v>169093.85833333331</v>
      </c>
      <c r="AA14" s="162">
        <f>IF(Z14=0,0,Z14/AB14)</f>
        <v>2.6022328490778577</v>
      </c>
      <c r="AB14" s="52">
        <f>+AB12</f>
        <v>64980.295054400834</v>
      </c>
      <c r="AD14" s="52">
        <f>+AD12</f>
        <v>169093.85833333331</v>
      </c>
      <c r="AE14" s="162">
        <f>IF(AD14=0,0,AD14/AF14)</f>
        <v>2.6022328490778577</v>
      </c>
      <c r="AF14" s="52">
        <f>+AF12</f>
        <v>64980.295054400834</v>
      </c>
      <c r="AH14" s="52">
        <f>+AH12</f>
        <v>169093.85833333331</v>
      </c>
      <c r="AI14" s="162">
        <f>IF(AH14=0,0,AH14/AJ14)</f>
        <v>2.6022328490778577</v>
      </c>
      <c r="AJ14" s="52">
        <f>+AJ12</f>
        <v>64980.295054400834</v>
      </c>
      <c r="AL14" s="52">
        <f>+AL12</f>
        <v>169093.85833333331</v>
      </c>
      <c r="AM14" s="162">
        <f>IF(AL14=0,0,AL14/AN14)</f>
        <v>2.6022328490778577</v>
      </c>
      <c r="AN14" s="52">
        <f>+AN12</f>
        <v>64980.295054400834</v>
      </c>
      <c r="AP14" s="52">
        <f>+AP12</f>
        <v>169093.85833333331</v>
      </c>
      <c r="AQ14" s="162">
        <f>IF(AP14=0,0,AP14/AR14)</f>
        <v>2.6022328490778577</v>
      </c>
      <c r="AR14" s="52">
        <f>+AR12</f>
        <v>64980.295054400834</v>
      </c>
      <c r="AT14" s="52">
        <f>+AT12</f>
        <v>169093.85833333331</v>
      </c>
      <c r="AU14" s="162">
        <f>IF(AT14=0,0,AT14/AV14)</f>
        <v>2.6022328490778577</v>
      </c>
      <c r="AV14" s="52">
        <f>+AV12</f>
        <v>64980.295054400834</v>
      </c>
      <c r="AW14" s="164"/>
      <c r="AX14" s="52">
        <f>+AX12</f>
        <v>2029126.3</v>
      </c>
      <c r="AZ14" s="52">
        <f>+AZ12</f>
        <v>779763.54065280978</v>
      </c>
    </row>
    <row r="15" spans="1:52" ht="16.5" thickTop="1">
      <c r="B15" s="43" t="s">
        <v>109</v>
      </c>
      <c r="C15" s="41"/>
      <c r="D15" s="43" t="s">
        <v>109</v>
      </c>
      <c r="E15" s="43"/>
      <c r="F15" s="43" t="s">
        <v>109</v>
      </c>
      <c r="G15" s="41"/>
      <c r="H15" s="43" t="s">
        <v>109</v>
      </c>
      <c r="I15" s="34"/>
      <c r="J15" s="43" t="s">
        <v>109</v>
      </c>
      <c r="K15" s="41"/>
      <c r="L15" s="43" t="s">
        <v>109</v>
      </c>
      <c r="N15" s="43" t="s">
        <v>109</v>
      </c>
      <c r="O15" s="41"/>
      <c r="P15" s="43" t="s">
        <v>109</v>
      </c>
      <c r="R15" s="43" t="s">
        <v>109</v>
      </c>
      <c r="S15" s="41"/>
      <c r="T15" s="43" t="s">
        <v>109</v>
      </c>
      <c r="V15" s="43" t="s">
        <v>109</v>
      </c>
      <c r="W15" s="41"/>
      <c r="X15" s="43" t="s">
        <v>109</v>
      </c>
      <c r="Z15" s="43" t="s">
        <v>109</v>
      </c>
      <c r="AA15" s="41"/>
      <c r="AB15" s="43" t="s">
        <v>109</v>
      </c>
      <c r="AD15" s="43" t="s">
        <v>109</v>
      </c>
      <c r="AE15" s="41"/>
      <c r="AF15" s="43" t="s">
        <v>109</v>
      </c>
      <c r="AH15" s="43" t="s">
        <v>109</v>
      </c>
      <c r="AI15" s="41"/>
      <c r="AJ15" s="43" t="s">
        <v>109</v>
      </c>
      <c r="AL15" s="43" t="s">
        <v>109</v>
      </c>
      <c r="AM15" s="41"/>
      <c r="AN15" s="43" t="s">
        <v>109</v>
      </c>
      <c r="AP15" s="43" t="s">
        <v>109</v>
      </c>
      <c r="AQ15" s="41"/>
      <c r="AR15" s="43" t="s">
        <v>109</v>
      </c>
      <c r="AT15" s="43" t="s">
        <v>109</v>
      </c>
      <c r="AU15" s="41"/>
      <c r="AV15" s="43" t="s">
        <v>109</v>
      </c>
      <c r="AW15" s="43"/>
      <c r="AX15" s="43"/>
      <c r="AZ15" s="43"/>
    </row>
    <row r="16" spans="1:52">
      <c r="B16" s="40"/>
      <c r="C16" s="41"/>
      <c r="D16" s="24"/>
      <c r="E16" s="24"/>
      <c r="F16" s="40"/>
      <c r="G16" s="41"/>
      <c r="H16" s="24"/>
      <c r="I16" s="34"/>
      <c r="J16" s="40"/>
      <c r="K16" s="41"/>
      <c r="L16" s="24"/>
      <c r="N16" s="40"/>
      <c r="O16" s="41"/>
      <c r="P16" s="24"/>
      <c r="R16" s="40"/>
      <c r="S16" s="41"/>
      <c r="T16" s="24"/>
      <c r="V16" s="40"/>
      <c r="W16" s="41"/>
      <c r="X16" s="24"/>
      <c r="Z16" s="40"/>
      <c r="AA16" s="41"/>
      <c r="AB16" s="24"/>
      <c r="AD16" s="40"/>
      <c r="AE16" s="41"/>
      <c r="AF16" s="24"/>
      <c r="AH16" s="40"/>
      <c r="AI16" s="41"/>
      <c r="AJ16" s="24"/>
      <c r="AL16" s="40"/>
      <c r="AM16" s="41"/>
      <c r="AN16" s="24"/>
      <c r="AP16" s="40"/>
      <c r="AQ16" s="41"/>
      <c r="AR16" s="24"/>
      <c r="AT16" s="40"/>
      <c r="AU16" s="41"/>
      <c r="AV16" s="24"/>
      <c r="AW16" s="24"/>
      <c r="AX16" s="197"/>
      <c r="AZ16" s="24"/>
    </row>
    <row r="17" spans="1:52">
      <c r="B17" s="113"/>
      <c r="C17" s="70" t="s">
        <v>10</v>
      </c>
      <c r="D17" s="24"/>
      <c r="E17" s="24"/>
      <c r="F17" s="113"/>
      <c r="G17" s="70"/>
      <c r="H17" s="24"/>
      <c r="I17" s="34"/>
      <c r="J17" s="113"/>
      <c r="K17" s="70"/>
      <c r="L17" s="24"/>
      <c r="N17" s="113"/>
      <c r="O17" s="70"/>
      <c r="P17" s="24"/>
      <c r="R17" s="113"/>
      <c r="S17" s="70"/>
      <c r="T17" s="24"/>
      <c r="V17" s="113"/>
      <c r="W17" s="70"/>
      <c r="X17" s="24"/>
      <c r="Z17" s="113"/>
      <c r="AA17" s="70"/>
      <c r="AB17" s="24"/>
      <c r="AD17" s="113"/>
      <c r="AE17" s="70"/>
      <c r="AF17" s="24"/>
      <c r="AH17" s="113"/>
      <c r="AI17" s="70"/>
      <c r="AJ17" s="24"/>
      <c r="AL17" s="113"/>
      <c r="AM17" s="70"/>
      <c r="AN17" s="24"/>
      <c r="AP17" s="113"/>
      <c r="AQ17" s="70"/>
      <c r="AR17" s="24"/>
      <c r="AT17" s="113"/>
      <c r="AU17" s="70" t="s">
        <v>10</v>
      </c>
      <c r="AV17" s="24"/>
      <c r="AW17" s="24"/>
      <c r="AX17" s="24"/>
      <c r="AZ17" s="24"/>
    </row>
    <row r="18" spans="1:52" ht="15.75">
      <c r="A18" s="15" t="s">
        <v>112</v>
      </c>
      <c r="B18" s="40"/>
      <c r="C18" s="41"/>
      <c r="D18" s="24"/>
      <c r="E18" s="24"/>
      <c r="F18" s="40"/>
      <c r="G18" s="41"/>
      <c r="H18" s="24"/>
      <c r="I18" s="34"/>
      <c r="J18" s="40"/>
      <c r="K18" s="41"/>
      <c r="L18" s="24"/>
      <c r="N18" s="40"/>
      <c r="O18" s="41"/>
      <c r="P18" s="24"/>
      <c r="R18" s="40"/>
      <c r="S18" s="41"/>
      <c r="T18" s="24"/>
      <c r="V18" s="40"/>
      <c r="W18" s="41"/>
      <c r="X18" s="24"/>
      <c r="Z18" s="40"/>
      <c r="AA18" s="41"/>
      <c r="AB18" s="24"/>
      <c r="AD18" s="40"/>
      <c r="AE18" s="41"/>
      <c r="AF18" s="24"/>
      <c r="AH18" s="40"/>
      <c r="AI18" s="41"/>
      <c r="AJ18" s="24"/>
      <c r="AL18" s="40"/>
      <c r="AM18" s="41"/>
      <c r="AN18" s="24"/>
      <c r="AP18" s="40"/>
      <c r="AQ18" s="41"/>
      <c r="AR18" s="24"/>
      <c r="AT18" s="40"/>
      <c r="AU18" s="41"/>
      <c r="AV18" s="24"/>
      <c r="AW18" s="24"/>
      <c r="AX18" s="24"/>
      <c r="AZ18" s="24"/>
    </row>
    <row r="19" spans="1:52">
      <c r="A19" t="s">
        <v>118</v>
      </c>
      <c r="B19" s="40"/>
      <c r="C19" s="41"/>
      <c r="D19" s="24"/>
      <c r="E19" s="24"/>
      <c r="F19" s="40"/>
      <c r="G19" s="41"/>
      <c r="H19" s="24"/>
      <c r="I19" s="34"/>
      <c r="J19" s="40"/>
      <c r="K19" s="41"/>
      <c r="L19" s="24"/>
      <c r="N19" s="40"/>
      <c r="O19" s="41"/>
      <c r="P19" s="24"/>
      <c r="R19" s="40"/>
      <c r="S19" s="41"/>
      <c r="T19" s="24"/>
      <c r="V19" s="40"/>
      <c r="W19" s="41"/>
      <c r="X19" s="24"/>
      <c r="Z19" s="40"/>
      <c r="AA19" s="41"/>
      <c r="AB19" s="24"/>
      <c r="AD19" s="40"/>
      <c r="AE19" s="41"/>
      <c r="AF19" s="24"/>
      <c r="AH19" s="40"/>
      <c r="AI19" s="41"/>
      <c r="AJ19" s="24"/>
      <c r="AL19" s="40"/>
      <c r="AM19" s="41"/>
      <c r="AN19" s="24"/>
      <c r="AP19" s="40"/>
      <c r="AQ19" s="41"/>
      <c r="AR19" s="24"/>
      <c r="AT19" s="40"/>
      <c r="AU19" s="41"/>
      <c r="AV19" s="24"/>
      <c r="AW19" s="24"/>
      <c r="AX19" s="198"/>
      <c r="AZ19" s="24"/>
    </row>
    <row r="20" spans="1:52">
      <c r="A20" t="s">
        <v>121</v>
      </c>
      <c r="B20" s="40"/>
      <c r="C20" s="41"/>
      <c r="D20" s="24"/>
      <c r="E20" s="24"/>
      <c r="F20" s="40"/>
      <c r="G20" s="41"/>
      <c r="H20" s="24"/>
      <c r="I20" s="34"/>
      <c r="J20" s="40"/>
      <c r="K20" s="41"/>
      <c r="L20" s="24"/>
      <c r="N20" s="40"/>
      <c r="O20" s="41"/>
      <c r="P20" s="24"/>
      <c r="R20" s="40"/>
      <c r="S20" s="41"/>
      <c r="T20" s="24"/>
      <c r="V20" s="40"/>
      <c r="W20" s="41"/>
      <c r="X20" s="24"/>
      <c r="Z20" s="40"/>
      <c r="AA20" s="41"/>
      <c r="AB20" s="24"/>
      <c r="AD20" s="40"/>
      <c r="AE20" s="41"/>
      <c r="AF20" s="24"/>
      <c r="AH20" s="40"/>
      <c r="AI20" s="41"/>
      <c r="AJ20" s="24"/>
      <c r="AL20" s="40"/>
      <c r="AM20" s="41"/>
      <c r="AN20" s="24"/>
      <c r="AP20" s="40"/>
      <c r="AQ20" s="41"/>
      <c r="AR20" s="24"/>
      <c r="AT20" s="40"/>
      <c r="AU20" s="41"/>
      <c r="AV20" s="24"/>
      <c r="AW20" s="24"/>
      <c r="AX20" s="24"/>
      <c r="AZ20" s="24"/>
    </row>
    <row r="21" spans="1:52">
      <c r="A21" t="s">
        <v>119</v>
      </c>
      <c r="B21" s="40"/>
      <c r="C21" s="41"/>
      <c r="D21" s="24"/>
      <c r="E21" s="24"/>
      <c r="F21" s="40"/>
      <c r="G21" s="41"/>
      <c r="H21" s="24"/>
      <c r="I21" s="34"/>
      <c r="J21" s="40"/>
      <c r="K21" s="41"/>
      <c r="L21" s="24"/>
      <c r="N21" s="40"/>
      <c r="O21" s="41"/>
      <c r="P21" s="24"/>
      <c r="R21" s="40"/>
      <c r="S21" s="41"/>
      <c r="T21" s="24"/>
      <c r="V21" s="40"/>
      <c r="W21" s="41"/>
      <c r="X21" s="24"/>
      <c r="Z21" s="40"/>
      <c r="AA21" s="41"/>
      <c r="AB21" s="24"/>
      <c r="AD21" s="40"/>
      <c r="AE21" s="41"/>
      <c r="AF21" s="24"/>
      <c r="AH21" s="40"/>
      <c r="AI21" s="41"/>
      <c r="AJ21" s="24"/>
      <c r="AL21" s="40"/>
      <c r="AM21" s="41"/>
      <c r="AN21" s="24"/>
      <c r="AP21" s="40"/>
      <c r="AQ21" s="41"/>
      <c r="AR21" s="24"/>
      <c r="AT21" s="40"/>
      <c r="AU21" s="41"/>
      <c r="AV21" s="24"/>
      <c r="AW21" s="24"/>
      <c r="AX21" s="24"/>
      <c r="AZ21" s="24"/>
    </row>
    <row r="22" spans="1:52">
      <c r="A22" t="s">
        <v>120</v>
      </c>
      <c r="B22" s="40"/>
      <c r="C22" s="41"/>
      <c r="D22" s="24"/>
      <c r="E22" s="24"/>
      <c r="F22" s="40"/>
      <c r="G22" s="41"/>
      <c r="H22" s="24"/>
      <c r="I22" s="34"/>
      <c r="J22" s="40"/>
      <c r="K22" s="41"/>
      <c r="L22" s="24"/>
      <c r="N22" s="40"/>
      <c r="O22" s="41"/>
      <c r="P22" s="24"/>
      <c r="R22" s="40"/>
      <c r="S22" s="41"/>
      <c r="T22" s="24"/>
      <c r="V22" s="40"/>
      <c r="W22" s="41"/>
      <c r="X22" s="24"/>
      <c r="Z22" s="40"/>
      <c r="AA22" s="41"/>
      <c r="AB22" s="24"/>
      <c r="AD22" s="40"/>
      <c r="AE22" s="41"/>
      <c r="AF22" s="24"/>
      <c r="AH22" s="40"/>
      <c r="AI22" s="41"/>
      <c r="AJ22" s="24"/>
      <c r="AL22" s="40"/>
      <c r="AM22" s="41"/>
      <c r="AN22" s="24"/>
      <c r="AP22" s="40"/>
      <c r="AQ22" s="41"/>
      <c r="AR22" s="24"/>
      <c r="AT22" s="40"/>
      <c r="AU22" s="41"/>
      <c r="AV22" s="24"/>
      <c r="AW22" s="24"/>
      <c r="AX22" s="24"/>
      <c r="AZ22" s="24"/>
    </row>
    <row r="23" spans="1:52">
      <c r="B23" s="40"/>
      <c r="C23" s="41"/>
      <c r="D23" s="24"/>
      <c r="E23" s="24"/>
      <c r="F23" s="40"/>
      <c r="G23" s="41"/>
      <c r="H23" s="24"/>
      <c r="I23" s="34"/>
      <c r="J23" s="40"/>
      <c r="K23" s="41"/>
      <c r="L23" s="24"/>
      <c r="N23" s="40"/>
      <c r="O23" s="41"/>
      <c r="P23" s="24"/>
      <c r="R23" s="40"/>
      <c r="S23" s="41"/>
      <c r="T23" s="24"/>
      <c r="V23" s="40"/>
      <c r="W23" s="41"/>
      <c r="X23" s="24"/>
      <c r="Z23" s="40"/>
      <c r="AA23" s="41"/>
      <c r="AB23" s="24"/>
      <c r="AD23" s="40"/>
      <c r="AE23" s="41"/>
      <c r="AF23" s="24"/>
      <c r="AH23" s="40"/>
      <c r="AI23" s="41"/>
      <c r="AJ23" s="24"/>
      <c r="AL23" s="40"/>
      <c r="AM23" s="41"/>
      <c r="AN23" s="24"/>
      <c r="AP23" s="40"/>
      <c r="AQ23" s="41"/>
      <c r="AR23" s="24"/>
      <c r="AT23" s="40"/>
      <c r="AU23" s="41"/>
      <c r="AV23" s="24"/>
      <c r="AW23" s="24"/>
      <c r="AX23" s="24"/>
      <c r="AZ23" s="24"/>
    </row>
    <row r="24" spans="1:52" ht="15.75">
      <c r="B24" s="40"/>
      <c r="C24" s="7">
        <f>B25</f>
        <v>2026</v>
      </c>
      <c r="D24" s="7">
        <f>B25</f>
        <v>2026</v>
      </c>
      <c r="E24" s="7"/>
      <c r="F24" s="40"/>
      <c r="G24" s="7">
        <f>F25</f>
        <v>2026</v>
      </c>
      <c r="H24" s="7">
        <f>F25</f>
        <v>2026</v>
      </c>
      <c r="I24" s="34"/>
      <c r="J24" s="40"/>
      <c r="K24" s="7">
        <f>J25</f>
        <v>2026</v>
      </c>
      <c r="L24" s="7">
        <f>J25</f>
        <v>2026</v>
      </c>
      <c r="N24" s="40"/>
      <c r="O24" s="7">
        <f>N25</f>
        <v>2026</v>
      </c>
      <c r="P24" s="7">
        <f>N25</f>
        <v>2026</v>
      </c>
      <c r="R24" s="40"/>
      <c r="S24" s="7">
        <f>R25</f>
        <v>2026</v>
      </c>
      <c r="T24" s="7">
        <f>R25</f>
        <v>2026</v>
      </c>
      <c r="V24" s="40"/>
      <c r="W24" s="7">
        <f>V25</f>
        <v>2026</v>
      </c>
      <c r="X24" s="7">
        <f>V25</f>
        <v>2026</v>
      </c>
      <c r="Z24" s="40"/>
      <c r="AA24" s="7">
        <f>Z25</f>
        <v>2026</v>
      </c>
      <c r="AB24" s="7">
        <f>Z25</f>
        <v>2026</v>
      </c>
      <c r="AD24" s="40"/>
      <c r="AE24" s="7">
        <f>AD25</f>
        <v>2026</v>
      </c>
      <c r="AF24" s="7">
        <f>AD25</f>
        <v>2026</v>
      </c>
      <c r="AH24" s="40"/>
      <c r="AI24" s="7">
        <f>AH25</f>
        <v>2026</v>
      </c>
      <c r="AJ24" s="7">
        <f>AH25</f>
        <v>2026</v>
      </c>
      <c r="AL24" s="40"/>
      <c r="AM24" s="7">
        <f>AL25</f>
        <v>2026</v>
      </c>
      <c r="AN24" s="7">
        <f>AL25</f>
        <v>2026</v>
      </c>
      <c r="AP24" s="40"/>
      <c r="AQ24" s="7">
        <f>AP25</f>
        <v>2026</v>
      </c>
      <c r="AR24" s="7">
        <f>AP25</f>
        <v>2026</v>
      </c>
      <c r="AT24" s="40"/>
      <c r="AU24" s="7">
        <f>AT25</f>
        <v>2026</v>
      </c>
      <c r="AV24" s="7">
        <f>AT25</f>
        <v>2026</v>
      </c>
      <c r="AW24" s="7"/>
      <c r="AX24" s="7">
        <f>+B3</f>
        <v>2026</v>
      </c>
      <c r="AZ24" s="7">
        <f>+B3</f>
        <v>2026</v>
      </c>
    </row>
    <row r="25" spans="1:52" ht="15.75">
      <c r="B25" s="7">
        <f>+B3</f>
        <v>2026</v>
      </c>
      <c r="C25" s="43" t="s">
        <v>122</v>
      </c>
      <c r="D25" s="43" t="s">
        <v>122</v>
      </c>
      <c r="E25" s="43"/>
      <c r="F25" s="7">
        <f>+B25</f>
        <v>2026</v>
      </c>
      <c r="G25" s="43" t="s">
        <v>122</v>
      </c>
      <c r="H25" s="43" t="s">
        <v>122</v>
      </c>
      <c r="I25" s="7"/>
      <c r="J25" s="7">
        <f>+B25</f>
        <v>2026</v>
      </c>
      <c r="K25" s="43" t="s">
        <v>122</v>
      </c>
      <c r="L25" s="43" t="s">
        <v>122</v>
      </c>
      <c r="N25" s="7">
        <f>+B25</f>
        <v>2026</v>
      </c>
      <c r="O25" s="43" t="s">
        <v>122</v>
      </c>
      <c r="P25" s="43" t="s">
        <v>122</v>
      </c>
      <c r="R25" s="7">
        <f>+B25</f>
        <v>2026</v>
      </c>
      <c r="S25" s="43" t="s">
        <v>122</v>
      </c>
      <c r="T25" s="43" t="s">
        <v>122</v>
      </c>
      <c r="V25" s="7">
        <f>+B25</f>
        <v>2026</v>
      </c>
      <c r="W25" s="43" t="s">
        <v>122</v>
      </c>
      <c r="X25" s="43" t="s">
        <v>122</v>
      </c>
      <c r="Z25" s="7">
        <f>+B25</f>
        <v>2026</v>
      </c>
      <c r="AA25" s="43" t="s">
        <v>122</v>
      </c>
      <c r="AB25" s="43" t="s">
        <v>122</v>
      </c>
      <c r="AD25" s="7">
        <f>+B25</f>
        <v>2026</v>
      </c>
      <c r="AE25" s="43" t="s">
        <v>122</v>
      </c>
      <c r="AF25" s="43" t="s">
        <v>122</v>
      </c>
      <c r="AH25" s="7">
        <f>+B25</f>
        <v>2026</v>
      </c>
      <c r="AI25" s="43" t="s">
        <v>122</v>
      </c>
      <c r="AJ25" s="43" t="s">
        <v>122</v>
      </c>
      <c r="AL25" s="7">
        <f>+B25</f>
        <v>2026</v>
      </c>
      <c r="AM25" s="43" t="s">
        <v>122</v>
      </c>
      <c r="AN25" s="43" t="s">
        <v>122</v>
      </c>
      <c r="AP25" s="7">
        <f>+B25</f>
        <v>2026</v>
      </c>
      <c r="AQ25" s="43" t="s">
        <v>122</v>
      </c>
      <c r="AR25" s="43" t="s">
        <v>122</v>
      </c>
      <c r="AT25" s="7">
        <f>+B25</f>
        <v>2026</v>
      </c>
      <c r="AU25" s="43" t="s">
        <v>122</v>
      </c>
      <c r="AV25" s="43" t="s">
        <v>122</v>
      </c>
      <c r="AW25" s="43"/>
      <c r="AX25" s="7" t="s">
        <v>212</v>
      </c>
      <c r="AZ25" s="7" t="s">
        <v>212</v>
      </c>
    </row>
    <row r="26" spans="1:52" ht="15.75">
      <c r="B26" s="43" t="s">
        <v>122</v>
      </c>
      <c r="C26" s="53" t="s">
        <v>6</v>
      </c>
      <c r="D26" s="17" t="s">
        <v>7</v>
      </c>
      <c r="E26" s="17"/>
      <c r="F26" s="43" t="s">
        <v>122</v>
      </c>
      <c r="G26" s="53" t="s">
        <v>6</v>
      </c>
      <c r="H26" s="17" t="s">
        <v>7</v>
      </c>
      <c r="I26" s="7"/>
      <c r="J26" s="43" t="s">
        <v>122</v>
      </c>
      <c r="K26" s="53" t="s">
        <v>6</v>
      </c>
      <c r="L26" s="17" t="s">
        <v>7</v>
      </c>
      <c r="N26" s="43" t="s">
        <v>122</v>
      </c>
      <c r="O26" s="53" t="s">
        <v>6</v>
      </c>
      <c r="P26" s="17" t="s">
        <v>7</v>
      </c>
      <c r="R26" s="43" t="s">
        <v>122</v>
      </c>
      <c r="S26" s="53" t="s">
        <v>6</v>
      </c>
      <c r="T26" s="17" t="s">
        <v>7</v>
      </c>
      <c r="V26" s="43" t="s">
        <v>122</v>
      </c>
      <c r="W26" s="53" t="s">
        <v>6</v>
      </c>
      <c r="X26" s="17" t="s">
        <v>7</v>
      </c>
      <c r="Z26" s="43" t="s">
        <v>122</v>
      </c>
      <c r="AA26" s="53" t="s">
        <v>6</v>
      </c>
      <c r="AB26" s="17" t="s">
        <v>7</v>
      </c>
      <c r="AD26" s="43" t="s">
        <v>122</v>
      </c>
      <c r="AE26" s="53" t="s">
        <v>6</v>
      </c>
      <c r="AF26" s="17" t="s">
        <v>7</v>
      </c>
      <c r="AH26" s="43" t="s">
        <v>122</v>
      </c>
      <c r="AI26" s="53" t="s">
        <v>6</v>
      </c>
      <c r="AJ26" s="17" t="s">
        <v>7</v>
      </c>
      <c r="AL26" s="43" t="s">
        <v>122</v>
      </c>
      <c r="AM26" s="53" t="s">
        <v>6</v>
      </c>
      <c r="AN26" s="17" t="s">
        <v>7</v>
      </c>
      <c r="AP26" s="43" t="s">
        <v>122</v>
      </c>
      <c r="AQ26" s="53" t="s">
        <v>6</v>
      </c>
      <c r="AR26" s="17" t="s">
        <v>7</v>
      </c>
      <c r="AT26" s="43" t="s">
        <v>122</v>
      </c>
      <c r="AU26" s="53" t="s">
        <v>6</v>
      </c>
      <c r="AV26" s="17" t="s">
        <v>7</v>
      </c>
      <c r="AW26" s="17"/>
      <c r="AX26" s="7" t="s">
        <v>1</v>
      </c>
      <c r="AZ26" s="7" t="s">
        <v>1</v>
      </c>
    </row>
    <row r="27" spans="1:52" ht="15.75">
      <c r="A27" s="15" t="s">
        <v>112</v>
      </c>
      <c r="B27" s="54" t="s">
        <v>3</v>
      </c>
      <c r="C27" s="55" t="s">
        <v>3</v>
      </c>
      <c r="D27" s="18" t="s">
        <v>8</v>
      </c>
      <c r="E27" s="17"/>
      <c r="F27" s="54" t="s">
        <v>3</v>
      </c>
      <c r="G27" s="55" t="s">
        <v>3</v>
      </c>
      <c r="H27" s="18" t="s">
        <v>8</v>
      </c>
      <c r="I27" s="12"/>
      <c r="J27" s="54" t="s">
        <v>3</v>
      </c>
      <c r="K27" s="55" t="s">
        <v>3</v>
      </c>
      <c r="L27" s="18" t="s">
        <v>8</v>
      </c>
      <c r="N27" s="54" t="s">
        <v>3</v>
      </c>
      <c r="O27" s="55" t="s">
        <v>3</v>
      </c>
      <c r="P27" s="18" t="s">
        <v>8</v>
      </c>
      <c r="R27" s="54" t="s">
        <v>3</v>
      </c>
      <c r="S27" s="55" t="s">
        <v>3</v>
      </c>
      <c r="T27" s="18" t="s">
        <v>8</v>
      </c>
      <c r="V27" s="54" t="s">
        <v>3</v>
      </c>
      <c r="W27" s="55" t="s">
        <v>3</v>
      </c>
      <c r="X27" s="18" t="s">
        <v>8</v>
      </c>
      <c r="Z27" s="54" t="s">
        <v>3</v>
      </c>
      <c r="AA27" s="55" t="s">
        <v>3</v>
      </c>
      <c r="AB27" s="18" t="s">
        <v>8</v>
      </c>
      <c r="AD27" s="54" t="s">
        <v>3</v>
      </c>
      <c r="AE27" s="55" t="s">
        <v>3</v>
      </c>
      <c r="AF27" s="18" t="s">
        <v>8</v>
      </c>
      <c r="AH27" s="54" t="s">
        <v>3</v>
      </c>
      <c r="AI27" s="55" t="s">
        <v>3</v>
      </c>
      <c r="AJ27" s="18" t="s">
        <v>8</v>
      </c>
      <c r="AL27" s="54" t="s">
        <v>3</v>
      </c>
      <c r="AM27" s="55" t="s">
        <v>3</v>
      </c>
      <c r="AN27" s="18" t="s">
        <v>8</v>
      </c>
      <c r="AP27" s="54" t="s">
        <v>3</v>
      </c>
      <c r="AQ27" s="55" t="s">
        <v>3</v>
      </c>
      <c r="AR27" s="18" t="s">
        <v>8</v>
      </c>
      <c r="AT27" s="54" t="s">
        <v>3</v>
      </c>
      <c r="AU27" s="55" t="s">
        <v>3</v>
      </c>
      <c r="AV27" s="18" t="s">
        <v>8</v>
      </c>
      <c r="AW27" s="17"/>
      <c r="AX27" s="12" t="s">
        <v>3</v>
      </c>
      <c r="AZ27" s="12" t="s">
        <v>214</v>
      </c>
    </row>
    <row r="28" spans="1:52">
      <c r="A28" t="s">
        <v>245</v>
      </c>
      <c r="B28" s="108">
        <v>0</v>
      </c>
      <c r="C28" s="108">
        <f>B28*(1-$B$38)</f>
        <v>0</v>
      </c>
      <c r="D28" s="108">
        <f t="shared" ref="D28:D32" si="4">B28-C28</f>
        <v>0</v>
      </c>
      <c r="E28" s="108"/>
      <c r="F28" s="108">
        <v>0</v>
      </c>
      <c r="G28" s="108">
        <f>F28*(1-$B$38)</f>
        <v>0</v>
      </c>
      <c r="H28" s="108">
        <f t="shared" ref="H28:H32" si="5">F28-G28</f>
        <v>0</v>
      </c>
      <c r="I28" s="108">
        <f>IF(D28=0,0,D28/B28)</f>
        <v>0</v>
      </c>
      <c r="J28" s="108">
        <v>0</v>
      </c>
      <c r="K28" s="108">
        <f>J28*(1-$B$38)</f>
        <v>0</v>
      </c>
      <c r="L28" s="108">
        <f t="shared" ref="L28:L32" si="6">J28-K28</f>
        <v>0</v>
      </c>
      <c r="M28" s="109"/>
      <c r="N28" s="108">
        <v>0</v>
      </c>
      <c r="O28" s="108">
        <f>N28*(1-$B$38)</f>
        <v>0</v>
      </c>
      <c r="P28" s="108">
        <f t="shared" ref="P28:P32" si="7">N28-O28</f>
        <v>0</v>
      </c>
      <c r="Q28" s="109"/>
      <c r="R28" s="108">
        <v>0</v>
      </c>
      <c r="S28" s="108">
        <f>R28*(1-$B$38)</f>
        <v>0</v>
      </c>
      <c r="T28" s="108">
        <f t="shared" ref="T28:T32" si="8">R28-S28</f>
        <v>0</v>
      </c>
      <c r="U28" s="109"/>
      <c r="V28" s="108">
        <v>0</v>
      </c>
      <c r="W28" s="108">
        <f>V28*(1-$B$38)</f>
        <v>0</v>
      </c>
      <c r="X28" s="108">
        <f t="shared" ref="X28:X32" si="9">V28-W28</f>
        <v>0</v>
      </c>
      <c r="Y28" s="109"/>
      <c r="Z28" s="108">
        <v>0</v>
      </c>
      <c r="AA28" s="108">
        <f>Z28*(1-$B$38)</f>
        <v>0</v>
      </c>
      <c r="AB28" s="108">
        <f t="shared" ref="AB28:AB32" si="10">Z28-AA28</f>
        <v>0</v>
      </c>
      <c r="AC28" s="109"/>
      <c r="AD28" s="108">
        <v>0</v>
      </c>
      <c r="AE28" s="108">
        <f>AD28*(1-$B$38)</f>
        <v>0</v>
      </c>
      <c r="AF28" s="108">
        <f t="shared" ref="AF28:AF32" si="11">AD28-AE28</f>
        <v>0</v>
      </c>
      <c r="AG28" s="109"/>
      <c r="AH28" s="108">
        <v>0</v>
      </c>
      <c r="AI28" s="108">
        <f>AH28*(1-$B$38)</f>
        <v>0</v>
      </c>
      <c r="AJ28" s="108">
        <f t="shared" ref="AJ28:AJ32" si="12">AH28-AI28</f>
        <v>0</v>
      </c>
      <c r="AK28" s="109"/>
      <c r="AL28" s="108">
        <v>0</v>
      </c>
      <c r="AM28" s="108">
        <f>AL28*(1-$B$38)</f>
        <v>0</v>
      </c>
      <c r="AN28" s="108">
        <f t="shared" ref="AN28:AN32" si="13">AL28-AM28</f>
        <v>0</v>
      </c>
      <c r="AO28" s="109"/>
      <c r="AP28" s="108">
        <v>0</v>
      </c>
      <c r="AQ28" s="108">
        <f>AP28*(1-$B$38)</f>
        <v>0</v>
      </c>
      <c r="AR28" s="108">
        <f t="shared" ref="AR28:AR32" si="14">AP28-AQ28</f>
        <v>0</v>
      </c>
      <c r="AS28" s="109"/>
      <c r="AT28" s="108">
        <v>0</v>
      </c>
      <c r="AU28" s="108">
        <f>AT28*(1-$B$38)</f>
        <v>0</v>
      </c>
      <c r="AV28" s="108">
        <f t="shared" ref="AV28:AV32" si="15">AT28-AU28</f>
        <v>0</v>
      </c>
      <c r="AW28" s="108"/>
      <c r="AX28" s="196">
        <f t="shared" ref="AX28:AX30" si="16">+B28+F28+J28+N28+R28+V28+Z28+AD28+AH28+AL28+AP28+AT28</f>
        <v>0</v>
      </c>
      <c r="AY28" s="109"/>
      <c r="AZ28" s="196">
        <f t="shared" ref="AZ28:AZ30" si="17">+C28+G28+K28+O28+S28+W28+AA28+AE28+AI28+AM28+AQ28+AU28</f>
        <v>0</v>
      </c>
    </row>
    <row r="29" spans="1:52">
      <c r="A29" t="s">
        <v>246</v>
      </c>
      <c r="B29" s="108">
        <v>0</v>
      </c>
      <c r="C29" s="108">
        <f>B29*(1-$B$38)</f>
        <v>0</v>
      </c>
      <c r="D29" s="108">
        <f t="shared" si="4"/>
        <v>0</v>
      </c>
      <c r="E29" s="108"/>
      <c r="F29" s="108">
        <v>0</v>
      </c>
      <c r="G29" s="108">
        <f>F29*(1-$B$38)</f>
        <v>0</v>
      </c>
      <c r="H29" s="108">
        <f t="shared" si="5"/>
        <v>0</v>
      </c>
      <c r="I29" s="108"/>
      <c r="J29" s="108">
        <v>0</v>
      </c>
      <c r="K29" s="108">
        <f>J29*(1-$B$38)</f>
        <v>0</v>
      </c>
      <c r="L29" s="108">
        <f t="shared" si="6"/>
        <v>0</v>
      </c>
      <c r="M29" s="109"/>
      <c r="N29" s="108">
        <v>0</v>
      </c>
      <c r="O29" s="108">
        <f>N29*(1-$B$38)</f>
        <v>0</v>
      </c>
      <c r="P29" s="108">
        <f t="shared" si="7"/>
        <v>0</v>
      </c>
      <c r="Q29" s="109"/>
      <c r="R29" s="108">
        <v>0</v>
      </c>
      <c r="S29" s="108">
        <f>R29*(1-$B$38)</f>
        <v>0</v>
      </c>
      <c r="T29" s="108">
        <f t="shared" si="8"/>
        <v>0</v>
      </c>
      <c r="U29" s="109"/>
      <c r="V29" s="108">
        <v>0</v>
      </c>
      <c r="W29" s="108">
        <f>V29*(1-$B$38)</f>
        <v>0</v>
      </c>
      <c r="X29" s="108">
        <f t="shared" si="9"/>
        <v>0</v>
      </c>
      <c r="Y29" s="109"/>
      <c r="Z29" s="108">
        <v>0</v>
      </c>
      <c r="AA29" s="108">
        <f>Z29*(1-$B$38)</f>
        <v>0</v>
      </c>
      <c r="AB29" s="108">
        <f t="shared" si="10"/>
        <v>0</v>
      </c>
      <c r="AC29" s="109"/>
      <c r="AD29" s="108">
        <v>0</v>
      </c>
      <c r="AE29" s="108">
        <f>AD29*(1-$B$38)</f>
        <v>0</v>
      </c>
      <c r="AF29" s="108">
        <f t="shared" si="11"/>
        <v>0</v>
      </c>
      <c r="AG29" s="109"/>
      <c r="AH29" s="108">
        <v>0</v>
      </c>
      <c r="AI29" s="108">
        <f>AH29*(1-$B$38)</f>
        <v>0</v>
      </c>
      <c r="AJ29" s="108">
        <f t="shared" si="12"/>
        <v>0</v>
      </c>
      <c r="AK29" s="109"/>
      <c r="AL29" s="108">
        <v>0</v>
      </c>
      <c r="AM29" s="108">
        <f>AL29*(1-$B$38)</f>
        <v>0</v>
      </c>
      <c r="AN29" s="108">
        <f t="shared" si="13"/>
        <v>0</v>
      </c>
      <c r="AO29" s="109"/>
      <c r="AP29" s="108">
        <v>0</v>
      </c>
      <c r="AQ29" s="108">
        <f>AP29*(1-$B$38)</f>
        <v>0</v>
      </c>
      <c r="AR29" s="108">
        <f t="shared" si="14"/>
        <v>0</v>
      </c>
      <c r="AS29" s="109"/>
      <c r="AT29" s="108">
        <v>0</v>
      </c>
      <c r="AU29" s="108">
        <f>AT29*(1-$B$38)</f>
        <v>0</v>
      </c>
      <c r="AV29" s="108">
        <f t="shared" si="15"/>
        <v>0</v>
      </c>
      <c r="AW29" s="108"/>
      <c r="AX29" s="196">
        <f t="shared" si="16"/>
        <v>0</v>
      </c>
      <c r="AY29" s="109"/>
      <c r="AZ29" s="196">
        <f t="shared" si="17"/>
        <v>0</v>
      </c>
    </row>
    <row r="30" spans="1:52">
      <c r="A30" t="s">
        <v>247</v>
      </c>
      <c r="B30" s="108">
        <v>0</v>
      </c>
      <c r="C30" s="108">
        <f>B30*(1-$B$38)</f>
        <v>0</v>
      </c>
      <c r="D30" s="108">
        <f t="shared" si="4"/>
        <v>0</v>
      </c>
      <c r="E30" s="108"/>
      <c r="F30" s="108">
        <v>0</v>
      </c>
      <c r="G30" s="108">
        <f>F30*(1-$B$38)</f>
        <v>0</v>
      </c>
      <c r="H30" s="108">
        <f t="shared" si="5"/>
        <v>0</v>
      </c>
      <c r="I30" s="108"/>
      <c r="J30" s="108">
        <v>0</v>
      </c>
      <c r="K30" s="108">
        <f>J30*(1-$B$38)</f>
        <v>0</v>
      </c>
      <c r="L30" s="108">
        <f t="shared" si="6"/>
        <v>0</v>
      </c>
      <c r="M30" s="109"/>
      <c r="N30" s="108">
        <v>0</v>
      </c>
      <c r="O30" s="108">
        <f>N30*(1-$B$38)</f>
        <v>0</v>
      </c>
      <c r="P30" s="108">
        <f t="shared" si="7"/>
        <v>0</v>
      </c>
      <c r="Q30" s="109"/>
      <c r="R30" s="108">
        <v>0</v>
      </c>
      <c r="S30" s="108">
        <f>R30*(1-$B$38)</f>
        <v>0</v>
      </c>
      <c r="T30" s="108">
        <f t="shared" si="8"/>
        <v>0</v>
      </c>
      <c r="U30" s="109"/>
      <c r="V30" s="108">
        <v>0</v>
      </c>
      <c r="W30" s="108">
        <f>V30*(1-$B$38)</f>
        <v>0</v>
      </c>
      <c r="X30" s="108">
        <f t="shared" si="9"/>
        <v>0</v>
      </c>
      <c r="Y30" s="109"/>
      <c r="Z30" s="108">
        <v>0</v>
      </c>
      <c r="AA30" s="108">
        <f>Z30*(1-$B$38)</f>
        <v>0</v>
      </c>
      <c r="AB30" s="108">
        <f t="shared" si="10"/>
        <v>0</v>
      </c>
      <c r="AC30" s="109"/>
      <c r="AD30" s="108">
        <v>0</v>
      </c>
      <c r="AE30" s="108">
        <f>AD30*(1-$B$38)</f>
        <v>0</v>
      </c>
      <c r="AF30" s="108">
        <f t="shared" si="11"/>
        <v>0</v>
      </c>
      <c r="AG30" s="109"/>
      <c r="AH30" s="108">
        <v>0</v>
      </c>
      <c r="AI30" s="108">
        <f>AH30*(1-$B$38)</f>
        <v>0</v>
      </c>
      <c r="AJ30" s="108">
        <f t="shared" si="12"/>
        <v>0</v>
      </c>
      <c r="AK30" s="109"/>
      <c r="AL30" s="108">
        <v>0</v>
      </c>
      <c r="AM30" s="108">
        <f>AL30*(1-$B$38)</f>
        <v>0</v>
      </c>
      <c r="AN30" s="108">
        <f t="shared" si="13"/>
        <v>0</v>
      </c>
      <c r="AO30" s="109"/>
      <c r="AP30" s="108">
        <v>0</v>
      </c>
      <c r="AQ30" s="108">
        <f>AP30*(1-$B$38)</f>
        <v>0</v>
      </c>
      <c r="AR30" s="108">
        <f t="shared" si="14"/>
        <v>0</v>
      </c>
      <c r="AS30" s="109"/>
      <c r="AT30" s="108">
        <v>0</v>
      </c>
      <c r="AU30" s="108">
        <f>AT30*(1-$B$38)</f>
        <v>0</v>
      </c>
      <c r="AV30" s="108">
        <f t="shared" si="15"/>
        <v>0</v>
      </c>
      <c r="AW30" s="108"/>
      <c r="AX30" s="196">
        <f t="shared" si="16"/>
        <v>0</v>
      </c>
      <c r="AY30" s="109"/>
      <c r="AZ30" s="196">
        <f t="shared" si="17"/>
        <v>0</v>
      </c>
    </row>
    <row r="31" spans="1:52">
      <c r="A31" t="s">
        <v>117</v>
      </c>
      <c r="B31" s="203">
        <v>0</v>
      </c>
      <c r="C31" s="108">
        <f>B31*(1-$B$37)</f>
        <v>0</v>
      </c>
      <c r="D31" s="108">
        <f t="shared" si="4"/>
        <v>0</v>
      </c>
      <c r="E31" s="108"/>
      <c r="F31" s="203">
        <v>0</v>
      </c>
      <c r="G31" s="108">
        <f>F31*(1-$B$37)</f>
        <v>0</v>
      </c>
      <c r="H31" s="108">
        <f t="shared" si="5"/>
        <v>0</v>
      </c>
      <c r="I31" s="109"/>
      <c r="J31" s="203">
        <v>0</v>
      </c>
      <c r="K31" s="108">
        <f>J31*(1-$B$37)</f>
        <v>0</v>
      </c>
      <c r="L31" s="108">
        <f t="shared" si="6"/>
        <v>0</v>
      </c>
      <c r="M31" s="109"/>
      <c r="N31" s="203">
        <v>0</v>
      </c>
      <c r="O31" s="108">
        <f>N31*(1-$B$37)</f>
        <v>0</v>
      </c>
      <c r="P31" s="108">
        <f t="shared" si="7"/>
        <v>0</v>
      </c>
      <c r="Q31" s="109"/>
      <c r="R31" s="203">
        <v>0</v>
      </c>
      <c r="S31" s="108">
        <f>R31*(1-$B$37)</f>
        <v>0</v>
      </c>
      <c r="T31" s="108">
        <f t="shared" si="8"/>
        <v>0</v>
      </c>
      <c r="U31" s="109"/>
      <c r="V31" s="203">
        <v>0</v>
      </c>
      <c r="W31" s="108">
        <f>V31*(1-$B$37)</f>
        <v>0</v>
      </c>
      <c r="X31" s="108">
        <f t="shared" si="9"/>
        <v>0</v>
      </c>
      <c r="Y31" s="109"/>
      <c r="Z31" s="203">
        <v>0</v>
      </c>
      <c r="AA31" s="108">
        <f>Z31*(1-$B$37)</f>
        <v>0</v>
      </c>
      <c r="AB31" s="108">
        <f t="shared" si="10"/>
        <v>0</v>
      </c>
      <c r="AC31" s="109"/>
      <c r="AD31" s="203">
        <v>0</v>
      </c>
      <c r="AE31" s="108">
        <f>AD31*(1-$B$37)</f>
        <v>0</v>
      </c>
      <c r="AF31" s="108">
        <f t="shared" si="11"/>
        <v>0</v>
      </c>
      <c r="AG31" s="109"/>
      <c r="AH31" s="203">
        <v>0</v>
      </c>
      <c r="AI31" s="108">
        <f>AH31*(1-$B$37)</f>
        <v>0</v>
      </c>
      <c r="AJ31" s="108">
        <f t="shared" si="12"/>
        <v>0</v>
      </c>
      <c r="AK31" s="109"/>
      <c r="AL31" s="203">
        <v>0</v>
      </c>
      <c r="AM31" s="108">
        <f>AL31*(1-$B$37)</f>
        <v>0</v>
      </c>
      <c r="AN31" s="108">
        <f t="shared" si="13"/>
        <v>0</v>
      </c>
      <c r="AO31" s="109"/>
      <c r="AP31" s="203">
        <v>0</v>
      </c>
      <c r="AQ31" s="108">
        <f>AP31*(1-$B$37)</f>
        <v>0</v>
      </c>
      <c r="AR31" s="108">
        <f t="shared" si="14"/>
        <v>0</v>
      </c>
      <c r="AS31" s="109"/>
      <c r="AT31" s="203">
        <v>0</v>
      </c>
      <c r="AU31" s="108">
        <f>AT31*(1-$B$37)</f>
        <v>0</v>
      </c>
      <c r="AV31" s="108">
        <f t="shared" si="15"/>
        <v>0</v>
      </c>
      <c r="AW31" s="108"/>
      <c r="AX31" s="196">
        <f t="shared" ref="AX31:AX32" si="18">+B31+F31+J31+N31+R31+V31+Z31+AD31+AH31+AL31+AP31+AT31</f>
        <v>0</v>
      </c>
      <c r="AY31" s="109"/>
      <c r="AZ31" s="196">
        <f>+C31+G31+K31+O31+S31+W31+AA31+AE31+AI31+AM31+AQ31+AU31</f>
        <v>0</v>
      </c>
    </row>
    <row r="32" spans="1:52">
      <c r="A32" t="s">
        <v>167</v>
      </c>
      <c r="B32" s="203"/>
      <c r="C32" s="108">
        <f>B32*(1-I32)</f>
        <v>0</v>
      </c>
      <c r="D32" s="108">
        <f t="shared" si="4"/>
        <v>0</v>
      </c>
      <c r="E32" s="108"/>
      <c r="F32" s="203"/>
      <c r="G32" s="108">
        <f>F32*(1-L32)</f>
        <v>0</v>
      </c>
      <c r="H32" s="108">
        <f t="shared" si="5"/>
        <v>0</v>
      </c>
      <c r="I32" s="108">
        <v>0.1</v>
      </c>
      <c r="J32" s="203"/>
      <c r="K32" s="108">
        <f>J32*(1-O32)</f>
        <v>0</v>
      </c>
      <c r="L32" s="108">
        <f t="shared" si="6"/>
        <v>0</v>
      </c>
      <c r="M32" s="109"/>
      <c r="N32" s="203"/>
      <c r="O32" s="108">
        <f>N32*(1-T32)</f>
        <v>0</v>
      </c>
      <c r="P32" s="108">
        <f t="shared" si="7"/>
        <v>0</v>
      </c>
      <c r="Q32" s="109"/>
      <c r="R32" s="203"/>
      <c r="S32" s="108">
        <f>R32*(1-X32)</f>
        <v>0</v>
      </c>
      <c r="T32" s="108">
        <f t="shared" si="8"/>
        <v>0</v>
      </c>
      <c r="U32" s="109"/>
      <c r="V32" s="203">
        <v>0</v>
      </c>
      <c r="W32" s="108">
        <f>V32*(1-AB32)</f>
        <v>0</v>
      </c>
      <c r="X32" s="108">
        <f t="shared" si="9"/>
        <v>0</v>
      </c>
      <c r="Y32" s="109"/>
      <c r="Z32" s="203">
        <v>0</v>
      </c>
      <c r="AA32" s="108">
        <f>Z32*(1-AF32)</f>
        <v>0</v>
      </c>
      <c r="AB32" s="108">
        <f t="shared" si="10"/>
        <v>0</v>
      </c>
      <c r="AC32" s="109"/>
      <c r="AD32" s="203">
        <v>0</v>
      </c>
      <c r="AE32" s="108">
        <f>AD32*(1-AJ32)</f>
        <v>0</v>
      </c>
      <c r="AF32" s="108">
        <f t="shared" si="11"/>
        <v>0</v>
      </c>
      <c r="AG32" s="109"/>
      <c r="AH32" s="203"/>
      <c r="AI32" s="108">
        <f>AH32*(1-AN32)</f>
        <v>0</v>
      </c>
      <c r="AJ32" s="108">
        <f t="shared" si="12"/>
        <v>0</v>
      </c>
      <c r="AK32" s="109"/>
      <c r="AL32" s="203"/>
      <c r="AM32" s="108">
        <f>AL32*(1-AR32)</f>
        <v>0</v>
      </c>
      <c r="AN32" s="108">
        <f t="shared" si="13"/>
        <v>0</v>
      </c>
      <c r="AO32" s="109"/>
      <c r="AP32" s="203"/>
      <c r="AQ32" s="108">
        <f>AP32*(1-AV32)</f>
        <v>0</v>
      </c>
      <c r="AR32" s="108">
        <f t="shared" si="14"/>
        <v>0</v>
      </c>
      <c r="AS32" s="109"/>
      <c r="AT32" s="203"/>
      <c r="AU32" s="108">
        <f>AT32*(1-AZ32)</f>
        <v>0</v>
      </c>
      <c r="AV32" s="108">
        <f t="shared" si="15"/>
        <v>0</v>
      </c>
      <c r="AW32" s="108"/>
      <c r="AX32" s="196">
        <f t="shared" si="18"/>
        <v>0</v>
      </c>
      <c r="AY32" s="109"/>
      <c r="AZ32" s="196"/>
    </row>
    <row r="33" spans="1:52" ht="16.5" thickBot="1">
      <c r="A33" t="s">
        <v>9</v>
      </c>
      <c r="B33" s="52">
        <f>SUM(B28:B32)</f>
        <v>0</v>
      </c>
      <c r="C33" s="52">
        <f>SUM(C28:C32)</f>
        <v>0</v>
      </c>
      <c r="D33" s="52">
        <f>SUM(D28:D32)</f>
        <v>0</v>
      </c>
      <c r="E33" s="164"/>
      <c r="F33" s="52">
        <f>SUM(F28:F32)</f>
        <v>0</v>
      </c>
      <c r="G33" s="52">
        <f>SUM(G28:G32)</f>
        <v>0</v>
      </c>
      <c r="H33" s="52">
        <f>SUM(H28:H32)</f>
        <v>0</v>
      </c>
      <c r="I33" s="56" t="e">
        <f>D33/B33</f>
        <v>#DIV/0!</v>
      </c>
      <c r="J33" s="52">
        <f>SUM(J28:J32)</f>
        <v>0</v>
      </c>
      <c r="K33" s="52">
        <f>SUM(K28:K32)</f>
        <v>0</v>
      </c>
      <c r="L33" s="52">
        <f>SUM(L28:L32)</f>
        <v>0</v>
      </c>
      <c r="N33" s="52">
        <f>SUM(N28:N32)</f>
        <v>0</v>
      </c>
      <c r="O33" s="52">
        <f>SUM(O28:O32)</f>
        <v>0</v>
      </c>
      <c r="P33" s="52">
        <f>SUM(P28:P32)</f>
        <v>0</v>
      </c>
      <c r="R33" s="52">
        <f>SUM(R28:R32)</f>
        <v>0</v>
      </c>
      <c r="S33" s="52">
        <f>SUM(S28:S32)</f>
        <v>0</v>
      </c>
      <c r="T33" s="52">
        <f>SUM(T28:T32)</f>
        <v>0</v>
      </c>
      <c r="V33" s="52">
        <f>SUM(V28:V32)</f>
        <v>0</v>
      </c>
      <c r="W33" s="52">
        <f>SUM(W28:W32)</f>
        <v>0</v>
      </c>
      <c r="X33" s="52">
        <f>SUM(X28:X32)</f>
        <v>0</v>
      </c>
      <c r="Z33" s="52">
        <f>SUM(Z28:Z32)</f>
        <v>0</v>
      </c>
      <c r="AA33" s="52">
        <f>SUM(AA28:AA32)</f>
        <v>0</v>
      </c>
      <c r="AB33" s="52">
        <f>SUM(AB28:AB32)</f>
        <v>0</v>
      </c>
      <c r="AD33" s="52">
        <f>SUM(AD28:AD32)</f>
        <v>0</v>
      </c>
      <c r="AE33" s="52">
        <f>SUM(AE28:AE32)</f>
        <v>0</v>
      </c>
      <c r="AF33" s="52">
        <f>SUM(AF28:AF32)</f>
        <v>0</v>
      </c>
      <c r="AH33" s="52">
        <f>SUM(AH28:AH32)</f>
        <v>0</v>
      </c>
      <c r="AI33" s="52">
        <f>SUM(AI28:AI32)</f>
        <v>0</v>
      </c>
      <c r="AJ33" s="52">
        <f>SUM(AJ28:AJ32)</f>
        <v>0</v>
      </c>
      <c r="AL33" s="52">
        <f>SUM(AL28:AL32)</f>
        <v>0</v>
      </c>
      <c r="AM33" s="52">
        <f>SUM(AM28:AM32)</f>
        <v>0</v>
      </c>
      <c r="AN33" s="52">
        <f>SUM(AN28:AN32)</f>
        <v>0</v>
      </c>
      <c r="AP33" s="52">
        <f>SUM(AP28:AP32)</f>
        <v>0</v>
      </c>
      <c r="AQ33" s="52">
        <f>SUM(AQ28:AQ32)</f>
        <v>0</v>
      </c>
      <c r="AR33" s="52">
        <f>SUM(AR28:AR32)</f>
        <v>0</v>
      </c>
      <c r="AT33" s="52">
        <f>SUM(AT28:AT32)</f>
        <v>0</v>
      </c>
      <c r="AU33" s="52">
        <f>SUM(AU28:AU32)</f>
        <v>0</v>
      </c>
      <c r="AV33" s="52">
        <f>SUM(AV28:AV32)</f>
        <v>0</v>
      </c>
      <c r="AW33" s="164"/>
      <c r="AX33" s="52">
        <f>SUM(AX28:AX32)</f>
        <v>0</v>
      </c>
      <c r="AZ33" s="52">
        <f>SUM(AZ28:AZ32)</f>
        <v>0</v>
      </c>
    </row>
    <row r="34" spans="1:52" ht="16.5" thickTop="1">
      <c r="B34" s="43" t="s">
        <v>109</v>
      </c>
      <c r="C34" s="43" t="s">
        <v>109</v>
      </c>
      <c r="D34" s="19"/>
      <c r="E34" s="19"/>
      <c r="F34" s="43" t="s">
        <v>109</v>
      </c>
      <c r="G34" s="43" t="s">
        <v>109</v>
      </c>
      <c r="H34" s="19"/>
      <c r="I34" s="43" t="s">
        <v>109</v>
      </c>
      <c r="J34" s="43" t="s">
        <v>109</v>
      </c>
      <c r="K34" s="43" t="s">
        <v>109</v>
      </c>
      <c r="L34" s="19"/>
      <c r="N34" s="43" t="s">
        <v>109</v>
      </c>
      <c r="O34" s="43" t="s">
        <v>109</v>
      </c>
      <c r="P34" s="19"/>
      <c r="R34" s="43" t="s">
        <v>109</v>
      </c>
      <c r="S34" s="43" t="s">
        <v>109</v>
      </c>
      <c r="T34" s="19"/>
      <c r="V34" s="43" t="s">
        <v>109</v>
      </c>
      <c r="W34" s="43" t="s">
        <v>109</v>
      </c>
      <c r="X34" s="19"/>
      <c r="Z34" s="43" t="s">
        <v>109</v>
      </c>
      <c r="AA34" s="43" t="s">
        <v>109</v>
      </c>
      <c r="AB34" s="19"/>
      <c r="AD34" s="43" t="s">
        <v>109</v>
      </c>
      <c r="AE34" s="43" t="s">
        <v>109</v>
      </c>
      <c r="AF34" s="19"/>
      <c r="AH34" s="43" t="s">
        <v>109</v>
      </c>
      <c r="AI34" s="43" t="s">
        <v>109</v>
      </c>
      <c r="AJ34" s="19"/>
      <c r="AL34" s="43" t="s">
        <v>109</v>
      </c>
      <c r="AM34" s="43" t="s">
        <v>109</v>
      </c>
      <c r="AN34" s="19"/>
      <c r="AP34" s="43" t="s">
        <v>109</v>
      </c>
      <c r="AQ34" s="43" t="s">
        <v>109</v>
      </c>
      <c r="AR34" s="19"/>
      <c r="AT34" s="43" t="s">
        <v>109</v>
      </c>
      <c r="AU34" s="43" t="s">
        <v>109</v>
      </c>
      <c r="AV34" s="19"/>
      <c r="AW34" s="19"/>
      <c r="AX34" s="19"/>
      <c r="AZ34" s="19"/>
    </row>
    <row r="36" spans="1:52">
      <c r="AZ36" s="109"/>
    </row>
    <row r="37" spans="1:52">
      <c r="B37" s="66">
        <v>0.03</v>
      </c>
      <c r="F37" s="101"/>
      <c r="J37" s="101"/>
      <c r="N37" s="101"/>
      <c r="R37" s="101"/>
      <c r="V37" s="101"/>
      <c r="Z37" s="101"/>
      <c r="AD37" s="101"/>
      <c r="AH37" s="101"/>
      <c r="AL37" s="101"/>
      <c r="AP37" s="101"/>
      <c r="AT37" s="101"/>
    </row>
    <row r="38" spans="1:52">
      <c r="B38">
        <v>0.1</v>
      </c>
      <c r="F38">
        <f>10000000/12</f>
        <v>833333.33333333337</v>
      </c>
    </row>
  </sheetData>
  <sheetProtection algorithmName="SHA-512" hashValue="pkQQdgsG49IjwsAa89XVA7XG/OdwbcKtb5pLOdIxrtIoRmuFUyI/xGoyZhFwxvcTXOY0qMTaIbzzFta16luV6A==" saltValue="hK2dL1Kx2JTFnXe0pCabiw==" spinCount="100000" sheet="1" objects="1" scenarios="1"/>
  <mergeCells count="12">
    <mergeCell ref="AD2:AF2"/>
    <mergeCell ref="AH2:AJ2"/>
    <mergeCell ref="AL2:AN2"/>
    <mergeCell ref="AP2:AR2"/>
    <mergeCell ref="AT2:AV2"/>
    <mergeCell ref="V2:X2"/>
    <mergeCell ref="Z2:AB2"/>
    <mergeCell ref="B2:D2"/>
    <mergeCell ref="F2:H2"/>
    <mergeCell ref="J2:L2"/>
    <mergeCell ref="N2:P2"/>
    <mergeCell ref="R2:T2"/>
  </mergeCells>
  <phoneticPr fontId="0" type="noConversion"/>
  <printOptions horizontalCentered="1"/>
  <pageMargins left="0" right="0" top="1.05" bottom="0" header="0.38" footer="0.3"/>
  <pageSetup scale="14" fitToHeight="2" orientation="portrait" r:id="rId1"/>
  <headerFooter alignWithMargins="0">
    <oddHeader>&amp;C&amp;"Arial MT,Bold"&amp;10THE HYDAKER-WHEATLAKE COMPANY
BUDGETED REVENUE AND DIRECT LABOR
For the Twelve Months Ended December 31, 2021&amp;R&amp;"Arial MT,Bold"&amp;8&amp;F
&amp;D
&amp;T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3">
    <tabColor rgb="FF92D050"/>
    <pageSetUpPr fitToPage="1"/>
  </sheetPr>
  <dimension ref="A1:F14"/>
  <sheetViews>
    <sheetView zoomScaleNormal="100" workbookViewId="0">
      <selection activeCell="S25" sqref="S25"/>
    </sheetView>
  </sheetViews>
  <sheetFormatPr defaultRowHeight="15"/>
  <cols>
    <col min="1" max="1" width="13.21875" customWidth="1"/>
    <col min="2" max="6" width="12" customWidth="1"/>
  </cols>
  <sheetData>
    <row r="1" spans="1:6" ht="15.75">
      <c r="B1" s="7" t="s">
        <v>32</v>
      </c>
      <c r="C1" s="7" t="s">
        <v>32</v>
      </c>
      <c r="D1" s="7" t="s">
        <v>32</v>
      </c>
      <c r="E1" s="7" t="s">
        <v>402</v>
      </c>
      <c r="F1" s="7" t="s">
        <v>0</v>
      </c>
    </row>
    <row r="2" spans="1:6" ht="15.75">
      <c r="B2" s="194">
        <v>45291</v>
      </c>
      <c r="C2" s="194">
        <v>45657</v>
      </c>
      <c r="D2" s="194">
        <v>46022</v>
      </c>
      <c r="E2" s="12" t="s">
        <v>147</v>
      </c>
      <c r="F2" s="28" t="s">
        <v>389</v>
      </c>
    </row>
    <row r="3" spans="1:6">
      <c r="B3" s="19"/>
      <c r="C3" s="19"/>
      <c r="D3" s="19"/>
      <c r="E3" s="19"/>
      <c r="F3" s="19"/>
    </row>
    <row r="4" spans="1:6">
      <c r="A4" s="68"/>
      <c r="B4" s="19"/>
      <c r="C4" s="19"/>
      <c r="D4" s="19"/>
      <c r="E4" s="19"/>
      <c r="F4" s="19"/>
    </row>
    <row r="5" spans="1:6" ht="16.5" thickBot="1">
      <c r="A5" s="69" t="s">
        <v>146</v>
      </c>
      <c r="B5" s="27">
        <f>'Operating Exp'!S4</f>
        <v>109868</v>
      </c>
      <c r="C5" s="27">
        <f>'Operating Exp'!R4</f>
        <v>1044746</v>
      </c>
      <c r="D5" s="27">
        <f>'Operating Exp'!Q4</f>
        <v>1827505</v>
      </c>
      <c r="E5" s="27">
        <f>AVERAGE(B5:D5)</f>
        <v>994039.66666666663</v>
      </c>
      <c r="F5" s="348">
        <f>CVRIS!T7</f>
        <v>2029126.3</v>
      </c>
    </row>
    <row r="6" spans="1:6" ht="16.5" thickTop="1">
      <c r="A6" s="68"/>
      <c r="B6" s="19"/>
      <c r="C6" s="19"/>
      <c r="D6" s="19"/>
      <c r="E6" s="19"/>
      <c r="F6" s="43"/>
    </row>
    <row r="7" spans="1:6">
      <c r="A7" s="68"/>
      <c r="B7" s="19"/>
      <c r="C7" s="19"/>
      <c r="D7" s="19"/>
      <c r="E7" s="19"/>
      <c r="F7" s="19"/>
    </row>
    <row r="8" spans="1:6">
      <c r="B8" s="19"/>
      <c r="C8" s="19"/>
      <c r="D8" s="19"/>
      <c r="E8" s="19"/>
      <c r="F8" s="19"/>
    </row>
    <row r="9" spans="1:6" ht="16.5" thickBot="1">
      <c r="A9" s="69" t="s">
        <v>145</v>
      </c>
      <c r="B9" s="27">
        <v>0</v>
      </c>
      <c r="C9" s="27">
        <v>0</v>
      </c>
      <c r="D9" s="27">
        <f>CVRBS!D10</f>
        <v>0</v>
      </c>
      <c r="E9" s="27">
        <f>AVERAGE(B9:D9)</f>
        <v>0</v>
      </c>
      <c r="F9" s="349">
        <v>0</v>
      </c>
    </row>
    <row r="10" spans="1:6" ht="16.5" thickTop="1">
      <c r="A10" s="68"/>
      <c r="B10" s="19"/>
      <c r="C10" s="19"/>
      <c r="D10" s="19"/>
      <c r="E10" s="19"/>
      <c r="F10" s="43"/>
    </row>
    <row r="13" spans="1:6" ht="16.5" thickBot="1">
      <c r="A13" s="69" t="s">
        <v>148</v>
      </c>
      <c r="B13" s="27">
        <v>0</v>
      </c>
      <c r="C13" s="27">
        <v>81</v>
      </c>
      <c r="D13" s="27">
        <f>CVRBS!D37</f>
        <v>0</v>
      </c>
      <c r="E13" s="27">
        <f>AVERAGE(B13:D13)</f>
        <v>27</v>
      </c>
      <c r="F13" s="349">
        <v>0</v>
      </c>
    </row>
    <row r="14" spans="1:6" ht="16.5" thickTop="1">
      <c r="A14" s="68"/>
      <c r="B14" s="19"/>
      <c r="C14" s="19"/>
      <c r="D14" s="19"/>
      <c r="E14" s="19"/>
      <c r="F14" s="43"/>
    </row>
  </sheetData>
  <sheetProtection algorithmName="SHA-512" hashValue="FkE/K+miyodaZEmiXSXqXaFis/5q9kIP4Nxwuw8QI9woYpjLoG+8msRaFeol0me3XXnQGKQwcWnaLmOpSrZYxA==" saltValue="foiH7asmMrpobSnSUBgXCg==" spinCount="100000" sheet="1" objects="1" scenarios="1"/>
  <printOptions horizontalCentered="1"/>
  <pageMargins left="0" right="0" top="1.79" bottom="0.3" header="0.5" footer="0.5"/>
  <pageSetup orientation="landscape" r:id="rId1"/>
  <headerFooter alignWithMargins="0">
    <oddHeader>&amp;C&amp;"Arial MT,Bold"&amp;10CVR Engineering
Budgeted Balance Sheet WIP &amp;&amp; AP
For the Twelve Months Ended December 31, 2024&amp;R&amp;"Arial MT,Bold"&amp;8&amp;F
&amp;D
&amp;T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2">
    <tabColor rgb="FF92D050"/>
    <pageSetUpPr fitToPage="1"/>
  </sheetPr>
  <dimension ref="A1:M22"/>
  <sheetViews>
    <sheetView zoomScale="90" zoomScaleNormal="90" workbookViewId="0">
      <pane xSplit="1" ySplit="3" topLeftCell="B4" activePane="bottomRight" state="frozen"/>
      <selection activeCell="S25" sqref="S25"/>
      <selection pane="topRight" activeCell="S25" sqref="S25"/>
      <selection pane="bottomLeft" activeCell="S25" sqref="S25"/>
      <selection pane="bottomRight" activeCell="S25" sqref="S25"/>
    </sheetView>
  </sheetViews>
  <sheetFormatPr defaultColWidth="9.77734375" defaultRowHeight="15"/>
  <cols>
    <col min="1" max="1" width="23.77734375" customWidth="1"/>
    <col min="2" max="5" width="12.88671875" customWidth="1"/>
    <col min="6" max="6" width="13.5546875" bestFit="1" customWidth="1"/>
    <col min="7" max="7" width="12.44140625" bestFit="1" customWidth="1"/>
  </cols>
  <sheetData>
    <row r="1" spans="1:13" ht="15.75">
      <c r="B1" s="7" t="s">
        <v>32</v>
      </c>
      <c r="C1" s="7" t="s">
        <v>178</v>
      </c>
      <c r="D1" s="7" t="s">
        <v>178</v>
      </c>
      <c r="E1" s="7" t="s">
        <v>178</v>
      </c>
      <c r="F1" s="7" t="s">
        <v>0</v>
      </c>
    </row>
    <row r="2" spans="1:13" ht="15.75">
      <c r="B2" s="7" t="s">
        <v>124</v>
      </c>
      <c r="C2" s="7" t="s">
        <v>124</v>
      </c>
      <c r="D2" s="7" t="s">
        <v>124</v>
      </c>
      <c r="E2" s="7" t="s">
        <v>124</v>
      </c>
      <c r="F2" s="7" t="s">
        <v>124</v>
      </c>
      <c r="H2" s="11"/>
    </row>
    <row r="3" spans="1:13" s="39" customFormat="1" ht="15.75">
      <c r="B3" s="49">
        <v>44926</v>
      </c>
      <c r="C3" s="49">
        <v>45291</v>
      </c>
      <c r="D3" s="49">
        <v>45657</v>
      </c>
      <c r="E3" s="49">
        <v>46022</v>
      </c>
      <c r="F3" s="49">
        <v>46387</v>
      </c>
    </row>
    <row r="4" spans="1:13" ht="15.75">
      <c r="B4" s="38"/>
      <c r="C4" s="38"/>
      <c r="D4" s="38"/>
      <c r="E4" s="38"/>
      <c r="F4" s="38"/>
    </row>
    <row r="5" spans="1:13" ht="15.75" thickBot="1">
      <c r="A5" s="4" t="s">
        <v>166</v>
      </c>
      <c r="B5" s="100">
        <f>'Operating Exp'!T4</f>
        <v>0</v>
      </c>
      <c r="C5" s="100">
        <f>'Operating Exp'!S4</f>
        <v>109868</v>
      </c>
      <c r="D5" s="100">
        <f>'Operating Exp'!R4</f>
        <v>1044746</v>
      </c>
      <c r="E5" s="100">
        <f>'Operating Exp'!Q4</f>
        <v>1827505</v>
      </c>
      <c r="F5" s="100">
        <f>CVRIS!T7</f>
        <v>2029126.3</v>
      </c>
      <c r="G5" s="19"/>
      <c r="H5" s="19"/>
      <c r="I5" s="19"/>
      <c r="J5" s="19"/>
      <c r="K5" s="19"/>
      <c r="L5" s="19"/>
      <c r="M5" s="19"/>
    </row>
    <row r="6" spans="1:13" ht="15.75" thickTop="1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>
      <c r="A9" s="4" t="s">
        <v>134</v>
      </c>
      <c r="B9" s="19">
        <v>0</v>
      </c>
      <c r="C9" s="19">
        <f t="shared" ref="C9:E9" si="0">+B10</f>
        <v>0</v>
      </c>
      <c r="D9" s="19">
        <f t="shared" si="0"/>
        <v>0</v>
      </c>
      <c r="E9" s="19">
        <f t="shared" si="0"/>
        <v>17987</v>
      </c>
      <c r="F9" s="19">
        <f>E10</f>
        <v>40886</v>
      </c>
      <c r="G9" s="19"/>
      <c r="H9" s="19"/>
      <c r="I9" s="19"/>
      <c r="J9" s="19"/>
      <c r="K9" s="19"/>
      <c r="L9" s="19"/>
      <c r="M9" s="19"/>
    </row>
    <row r="10" spans="1:13">
      <c r="A10" s="4" t="s">
        <v>135</v>
      </c>
      <c r="B10" s="99">
        <v>0</v>
      </c>
      <c r="C10" s="99">
        <v>0</v>
      </c>
      <c r="D10" s="99">
        <v>17987</v>
      </c>
      <c r="E10" s="99">
        <f>CVRBS!D8</f>
        <v>40886</v>
      </c>
      <c r="F10" s="99">
        <f>CVRBS!F8</f>
        <v>30000</v>
      </c>
      <c r="G10" s="50">
        <f>365/(F5/F10)</f>
        <v>5.3964112534542572</v>
      </c>
      <c r="H10" s="101"/>
      <c r="I10" s="19"/>
      <c r="J10" s="19"/>
      <c r="K10" s="19"/>
      <c r="L10" s="19"/>
      <c r="M10" s="19"/>
    </row>
    <row r="11" spans="1:13" ht="15.75" thickBot="1">
      <c r="A11" s="4" t="s">
        <v>30</v>
      </c>
      <c r="B11" s="23">
        <f>SUM(B9:B10)</f>
        <v>0</v>
      </c>
      <c r="C11" s="23">
        <f>SUM(C9:C10)</f>
        <v>0</v>
      </c>
      <c r="D11" s="23">
        <f>SUM(D9:D10)</f>
        <v>17987</v>
      </c>
      <c r="E11" s="23">
        <f>SUM(E9:E10)</f>
        <v>58873</v>
      </c>
      <c r="F11" s="23">
        <f t="shared" ref="F11" si="1">SUM(F9:F10)</f>
        <v>70886</v>
      </c>
      <c r="G11" s="19"/>
      <c r="H11" s="19"/>
      <c r="I11" s="19"/>
      <c r="J11" s="19"/>
      <c r="K11" s="19"/>
      <c r="L11" s="19"/>
      <c r="M11" s="19"/>
    </row>
    <row r="12" spans="1:13" ht="15.75" thickTop="1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ht="15.75" thickBot="1">
      <c r="A13" s="4" t="s">
        <v>133</v>
      </c>
      <c r="B13" s="27">
        <f t="shared" ref="B13:E13" si="2">B11/2</f>
        <v>0</v>
      </c>
      <c r="C13" s="27">
        <f t="shared" si="2"/>
        <v>0</v>
      </c>
      <c r="D13" s="27">
        <f t="shared" si="2"/>
        <v>8993.5</v>
      </c>
      <c r="E13" s="27">
        <f t="shared" si="2"/>
        <v>29436.5</v>
      </c>
      <c r="F13" s="27">
        <f>F11/2</f>
        <v>35443</v>
      </c>
      <c r="G13" s="19"/>
      <c r="H13" s="19"/>
      <c r="I13" s="19"/>
      <c r="J13" s="19"/>
      <c r="K13" s="19"/>
      <c r="L13" s="19"/>
      <c r="M13" s="19"/>
    </row>
    <row r="14" spans="1:13" ht="15.75" thickTop="1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3" ht="15.75" thickBot="1">
      <c r="A15" s="4" t="s">
        <v>137</v>
      </c>
      <c r="B15" s="35">
        <f>IFERROR(B5/B13,0)</f>
        <v>0</v>
      </c>
      <c r="C15" s="35">
        <f>IFERROR(C5/C13,0)</f>
        <v>0</v>
      </c>
      <c r="D15" s="35">
        <f>IFERROR(D5/D13,0)</f>
        <v>116.16678712403403</v>
      </c>
      <c r="E15" s="35">
        <f>IFERROR(E5/E13,0)</f>
        <v>62.082958232126778</v>
      </c>
      <c r="F15" s="35">
        <f>F5/F13</f>
        <v>57.250410518296988</v>
      </c>
    </row>
    <row r="16" spans="1:13" ht="15.75" thickTop="1"/>
    <row r="17" spans="1:6" ht="15.75" thickBot="1">
      <c r="A17" t="s">
        <v>136</v>
      </c>
      <c r="B17" s="36">
        <f>IFERROR(365/B15,0)</f>
        <v>0</v>
      </c>
      <c r="C17" s="36">
        <f>IFERROR(365/C15,0)</f>
        <v>0</v>
      </c>
      <c r="D17" s="36">
        <f>IFERROR(365/D15,0)</f>
        <v>3.142034044638601</v>
      </c>
      <c r="E17" s="36">
        <f>IFERROR(365/E15,0)</f>
        <v>5.8792301525850821</v>
      </c>
      <c r="F17" s="36">
        <f t="shared" ref="F17" si="3">365/F15</f>
        <v>6.375500135205975</v>
      </c>
    </row>
    <row r="18" spans="1:6" ht="15.75" thickTop="1">
      <c r="B18" s="37"/>
      <c r="C18" s="37"/>
      <c r="D18" s="37"/>
      <c r="E18" s="37"/>
      <c r="F18" s="67"/>
    </row>
    <row r="19" spans="1:6">
      <c r="F19" s="67"/>
    </row>
    <row r="20" spans="1:6">
      <c r="F20" s="67"/>
    </row>
    <row r="21" spans="1:6" ht="15.75" thickBot="1">
      <c r="A21" s="4" t="s">
        <v>166</v>
      </c>
      <c r="B21" s="27">
        <f t="shared" ref="B21:E21" si="4">+B5</f>
        <v>0</v>
      </c>
      <c r="C21" s="27">
        <f t="shared" si="4"/>
        <v>109868</v>
      </c>
      <c r="D21" s="27">
        <f t="shared" si="4"/>
        <v>1044746</v>
      </c>
      <c r="E21" s="27">
        <f t="shared" si="4"/>
        <v>1827505</v>
      </c>
      <c r="F21" s="27">
        <f>+F5</f>
        <v>2029126.3</v>
      </c>
    </row>
    <row r="22" spans="1:6" ht="15.75" thickTop="1">
      <c r="B22" s="19"/>
      <c r="C22" s="19"/>
      <c r="D22" s="19"/>
      <c r="E22" s="19"/>
    </row>
  </sheetData>
  <sheetProtection algorithmName="SHA-512" hashValue="IYZXxjJ1SYVfSLp/g6CXAe/xqCdmzC5qVg1lV0rLALqaxTDjMxadc6DvPrC2UIgBlTGq9LU+2fs5M5EIaDnqGw==" saltValue="o8L6m07DWkWVESTcKp0Gzw==" spinCount="100000" sheet="1" objects="1" scenarios="1"/>
  <phoneticPr fontId="0" type="noConversion"/>
  <printOptions horizontalCentered="1"/>
  <pageMargins left="0" right="0" top="1.79" bottom="0.3" header="0.5" footer="0.5"/>
  <pageSetup orientation="landscape" r:id="rId1"/>
  <headerFooter alignWithMargins="0">
    <oddHeader>&amp;C&amp;"Arial MT,Bold"&amp;10CVR ENGINEERING
Budgeted Accounts Receivable Turnover
For the Twelve Months Ended December 31, 2024&amp;R&amp;"Arial MT,Bold"&amp;8&amp;F
&amp;D
&amp;T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4">
    <tabColor theme="4" tint="0.39997558519241921"/>
    <pageSetUpPr fitToPage="1"/>
  </sheetPr>
  <dimension ref="A1:E86"/>
  <sheetViews>
    <sheetView zoomScaleNormal="100" workbookViewId="0">
      <selection activeCell="H14" sqref="H14"/>
    </sheetView>
  </sheetViews>
  <sheetFormatPr defaultColWidth="8.88671875" defaultRowHeight="12.75"/>
  <cols>
    <col min="1" max="1" width="44.109375" style="74" customWidth="1"/>
    <col min="2" max="2" width="8.109375" style="73" bestFit="1" customWidth="1"/>
    <col min="3" max="3" width="24.33203125" style="72" bestFit="1" customWidth="1"/>
    <col min="4" max="16384" width="8.88671875" style="71"/>
  </cols>
  <sheetData>
    <row r="1" spans="1:3" s="72" customFormat="1" ht="13.5" thickBot="1">
      <c r="A1" s="94" t="s">
        <v>158</v>
      </c>
      <c r="B1" s="93"/>
      <c r="C1" s="92"/>
    </row>
    <row r="2" spans="1:3">
      <c r="A2" s="90"/>
      <c r="C2" s="84"/>
    </row>
    <row r="3" spans="1:3" s="72" customFormat="1">
      <c r="A3" s="89" t="s">
        <v>144</v>
      </c>
      <c r="C3" s="84"/>
    </row>
    <row r="4" spans="1:3" s="72" customFormat="1">
      <c r="A4" s="86" t="s">
        <v>149</v>
      </c>
      <c r="B4" s="72">
        <v>0</v>
      </c>
      <c r="C4" s="84"/>
    </row>
    <row r="5" spans="1:3" s="72" customFormat="1">
      <c r="A5" s="86" t="s">
        <v>142</v>
      </c>
      <c r="B5" s="72">
        <v>0</v>
      </c>
      <c r="C5" s="84"/>
    </row>
    <row r="6" spans="1:3" s="72" customFormat="1">
      <c r="A6" s="86" t="s">
        <v>150</v>
      </c>
      <c r="B6" s="72">
        <v>40</v>
      </c>
      <c r="C6" s="84"/>
    </row>
    <row r="7" spans="1:3" s="72" customFormat="1">
      <c r="A7" s="86" t="s">
        <v>151</v>
      </c>
      <c r="B7" s="88">
        <v>0.9</v>
      </c>
      <c r="C7" s="84"/>
    </row>
    <row r="8" spans="1:3" s="72" customFormat="1">
      <c r="A8" s="86" t="s">
        <v>152</v>
      </c>
      <c r="B8" s="87">
        <f>(B4*(52*(B5/12)*B6))*B7</f>
        <v>0</v>
      </c>
      <c r="C8" s="84"/>
    </row>
    <row r="9" spans="1:3" s="72" customFormat="1">
      <c r="A9" s="86" t="s">
        <v>153</v>
      </c>
      <c r="B9" s="97">
        <v>32.07</v>
      </c>
      <c r="C9" s="107" t="s">
        <v>159</v>
      </c>
    </row>
    <row r="10" spans="1:3" s="72" customFormat="1">
      <c r="A10" s="86" t="s">
        <v>143</v>
      </c>
      <c r="B10" s="72">
        <v>0</v>
      </c>
      <c r="C10" s="106" t="s">
        <v>160</v>
      </c>
    </row>
    <row r="11" spans="1:3">
      <c r="A11" s="85"/>
      <c r="C11" s="102">
        <f>B8*B9*B10</f>
        <v>0</v>
      </c>
    </row>
    <row r="12" spans="1:3" s="72" customFormat="1" ht="13.5" thickBot="1">
      <c r="A12" s="83"/>
      <c r="B12" s="82"/>
      <c r="C12" s="81"/>
    </row>
    <row r="13" spans="1:3" s="72" customFormat="1">
      <c r="A13" s="90"/>
      <c r="B13" s="73"/>
      <c r="C13" s="84"/>
    </row>
    <row r="14" spans="1:3" s="72" customFormat="1">
      <c r="A14" s="89" t="s">
        <v>163</v>
      </c>
      <c r="C14" s="84"/>
    </row>
    <row r="15" spans="1:3" s="72" customFormat="1">
      <c r="A15" s="86" t="s">
        <v>149</v>
      </c>
      <c r="B15" s="72">
        <v>0</v>
      </c>
      <c r="C15" s="84"/>
    </row>
    <row r="16" spans="1:3" s="72" customFormat="1">
      <c r="A16" s="86" t="s">
        <v>142</v>
      </c>
      <c r="B16" s="72">
        <v>0</v>
      </c>
      <c r="C16" s="84"/>
    </row>
    <row r="17" spans="1:3" s="72" customFormat="1">
      <c r="A17" s="86" t="s">
        <v>150</v>
      </c>
      <c r="B17" s="72">
        <v>40</v>
      </c>
      <c r="C17" s="84"/>
    </row>
    <row r="18" spans="1:3" s="72" customFormat="1">
      <c r="A18" s="86" t="s">
        <v>151</v>
      </c>
      <c r="B18" s="88">
        <v>0.9</v>
      </c>
      <c r="C18" s="84"/>
    </row>
    <row r="19" spans="1:3" s="72" customFormat="1">
      <c r="A19" s="86" t="s">
        <v>152</v>
      </c>
      <c r="B19" s="87">
        <f>(B15*(52*(B16/12)*B17))*B18</f>
        <v>0</v>
      </c>
      <c r="C19" s="84"/>
    </row>
    <row r="20" spans="1:3" s="72" customFormat="1">
      <c r="A20" s="86" t="s">
        <v>153</v>
      </c>
      <c r="B20" s="97">
        <v>29.93</v>
      </c>
      <c r="C20" s="107" t="s">
        <v>159</v>
      </c>
    </row>
    <row r="21" spans="1:3" s="72" customFormat="1">
      <c r="A21" s="86" t="s">
        <v>143</v>
      </c>
      <c r="B21" s="72">
        <v>0</v>
      </c>
      <c r="C21" s="106" t="s">
        <v>161</v>
      </c>
    </row>
    <row r="22" spans="1:3">
      <c r="A22" s="85"/>
      <c r="C22" s="102">
        <f>B19*B20*B21</f>
        <v>0</v>
      </c>
    </row>
    <row r="23" spans="1:3" s="72" customFormat="1" ht="13.5" thickBot="1">
      <c r="A23" s="83"/>
      <c r="B23" s="82"/>
      <c r="C23" s="81"/>
    </row>
    <row r="24" spans="1:3" s="72" customFormat="1">
      <c r="A24" s="90"/>
      <c r="B24" s="73"/>
      <c r="C24" s="84"/>
    </row>
    <row r="25" spans="1:3" s="72" customFormat="1">
      <c r="A25" s="89" t="s">
        <v>157</v>
      </c>
      <c r="B25" s="91"/>
      <c r="C25" s="84"/>
    </row>
    <row r="26" spans="1:3" s="72" customFormat="1">
      <c r="A26" s="86" t="s">
        <v>149</v>
      </c>
      <c r="B26" s="72">
        <v>0</v>
      </c>
      <c r="C26" s="84"/>
    </row>
    <row r="27" spans="1:3" s="72" customFormat="1">
      <c r="A27" s="86" t="s">
        <v>142</v>
      </c>
      <c r="B27" s="72">
        <v>0</v>
      </c>
      <c r="C27" s="84"/>
    </row>
    <row r="28" spans="1:3" s="72" customFormat="1">
      <c r="A28" s="86" t="s">
        <v>150</v>
      </c>
      <c r="B28" s="72">
        <v>40</v>
      </c>
      <c r="C28" s="84"/>
    </row>
    <row r="29" spans="1:3" s="72" customFormat="1">
      <c r="A29" s="86" t="s">
        <v>151</v>
      </c>
      <c r="B29" s="88">
        <v>0.9</v>
      </c>
      <c r="C29" s="84"/>
    </row>
    <row r="30" spans="1:3" s="72" customFormat="1">
      <c r="A30" s="86" t="s">
        <v>152</v>
      </c>
      <c r="B30" s="87">
        <f>(B26*(52*(B27/12)*B28))*B29</f>
        <v>0</v>
      </c>
      <c r="C30" s="84"/>
    </row>
    <row r="31" spans="1:3" s="72" customFormat="1">
      <c r="A31" s="86" t="s">
        <v>153</v>
      </c>
      <c r="B31" s="97">
        <v>31.24</v>
      </c>
      <c r="C31" s="107" t="s">
        <v>159</v>
      </c>
    </row>
    <row r="32" spans="1:3" s="72" customFormat="1">
      <c r="A32" s="86" t="s">
        <v>143</v>
      </c>
      <c r="B32" s="72">
        <v>0</v>
      </c>
      <c r="C32" s="106" t="s">
        <v>162</v>
      </c>
    </row>
    <row r="33" spans="1:3">
      <c r="A33" s="85"/>
      <c r="C33" s="102">
        <f>B30*B31*B32</f>
        <v>0</v>
      </c>
    </row>
    <row r="34" spans="1:3" s="72" customFormat="1" ht="13.5" thickBot="1">
      <c r="A34" s="83"/>
      <c r="B34" s="82"/>
      <c r="C34" s="81"/>
    </row>
    <row r="35" spans="1:3" s="72" customFormat="1" hidden="1">
      <c r="A35" s="90"/>
      <c r="B35" s="73"/>
      <c r="C35" s="84"/>
    </row>
    <row r="36" spans="1:3" s="72" customFormat="1" hidden="1">
      <c r="A36" s="89"/>
      <c r="B36" s="91"/>
      <c r="C36" s="84"/>
    </row>
    <row r="37" spans="1:3" s="72" customFormat="1" hidden="1">
      <c r="A37" s="86" t="s">
        <v>149</v>
      </c>
      <c r="B37" s="72">
        <v>0</v>
      </c>
      <c r="C37" s="84"/>
    </row>
    <row r="38" spans="1:3" s="72" customFormat="1" hidden="1">
      <c r="A38" s="86" t="s">
        <v>142</v>
      </c>
      <c r="B38" s="72">
        <v>0</v>
      </c>
      <c r="C38" s="84"/>
    </row>
    <row r="39" spans="1:3" s="72" customFormat="1" hidden="1">
      <c r="A39" s="86" t="s">
        <v>150</v>
      </c>
      <c r="B39" s="72">
        <v>40</v>
      </c>
      <c r="C39" s="84"/>
    </row>
    <row r="40" spans="1:3" s="72" customFormat="1" hidden="1">
      <c r="A40" s="86" t="s">
        <v>151</v>
      </c>
      <c r="B40" s="88">
        <v>0.9</v>
      </c>
      <c r="C40" s="84"/>
    </row>
    <row r="41" spans="1:3" s="72" customFormat="1" hidden="1">
      <c r="A41" s="86" t="s">
        <v>152</v>
      </c>
      <c r="B41" s="87">
        <f>(B37*(52*(B38/12)*B39))*B40</f>
        <v>0</v>
      </c>
      <c r="C41" s="84"/>
    </row>
    <row r="42" spans="1:3" s="72" customFormat="1" hidden="1">
      <c r="A42" s="86" t="s">
        <v>153</v>
      </c>
      <c r="B42" s="97">
        <v>33</v>
      </c>
      <c r="C42" s="84"/>
    </row>
    <row r="43" spans="1:3" s="72" customFormat="1" hidden="1">
      <c r="A43" s="86" t="s">
        <v>143</v>
      </c>
      <c r="B43" s="72">
        <v>1.8</v>
      </c>
      <c r="C43" s="84"/>
    </row>
    <row r="44" spans="1:3" hidden="1">
      <c r="A44" s="85"/>
      <c r="C44" s="102">
        <f>B41*B42*B43</f>
        <v>0</v>
      </c>
    </row>
    <row r="45" spans="1:3" s="72" customFormat="1" ht="13.5" hidden="1" thickBot="1">
      <c r="A45" s="83"/>
      <c r="B45" s="82"/>
      <c r="C45" s="81"/>
    </row>
    <row r="46" spans="1:3" hidden="1">
      <c r="A46" s="90"/>
      <c r="C46" s="84"/>
    </row>
    <row r="47" spans="1:3" s="72" customFormat="1" hidden="1">
      <c r="A47" s="89"/>
      <c r="C47" s="84"/>
    </row>
    <row r="48" spans="1:3" s="72" customFormat="1" hidden="1">
      <c r="A48" s="86" t="s">
        <v>149</v>
      </c>
      <c r="B48" s="72">
        <v>0</v>
      </c>
      <c r="C48" s="84"/>
    </row>
    <row r="49" spans="1:3" s="72" customFormat="1" hidden="1">
      <c r="A49" s="86" t="s">
        <v>142</v>
      </c>
      <c r="B49" s="72">
        <v>0</v>
      </c>
      <c r="C49" s="84"/>
    </row>
    <row r="50" spans="1:3" s="72" customFormat="1" hidden="1">
      <c r="A50" s="86" t="s">
        <v>150</v>
      </c>
      <c r="B50" s="72">
        <v>40</v>
      </c>
      <c r="C50" s="84"/>
    </row>
    <row r="51" spans="1:3" s="72" customFormat="1" hidden="1">
      <c r="A51" s="86" t="s">
        <v>151</v>
      </c>
      <c r="B51" s="88">
        <v>0.9</v>
      </c>
      <c r="C51" s="84"/>
    </row>
    <row r="52" spans="1:3" s="72" customFormat="1" hidden="1">
      <c r="A52" s="86" t="s">
        <v>152</v>
      </c>
      <c r="B52" s="87">
        <f>(B48*(52*(B49/12)*B50))*B51</f>
        <v>0</v>
      </c>
      <c r="C52" s="84"/>
    </row>
    <row r="53" spans="1:3" s="72" customFormat="1" hidden="1">
      <c r="A53" s="86" t="s">
        <v>153</v>
      </c>
      <c r="B53" s="97">
        <v>33</v>
      </c>
      <c r="C53" s="84"/>
    </row>
    <row r="54" spans="1:3" s="72" customFormat="1" hidden="1">
      <c r="A54" s="86" t="s">
        <v>143</v>
      </c>
      <c r="B54" s="72">
        <v>1.8</v>
      </c>
      <c r="C54" s="84"/>
    </row>
    <row r="55" spans="1:3" hidden="1">
      <c r="A55" s="85"/>
      <c r="C55" s="102">
        <f>B52*B53*B54</f>
        <v>0</v>
      </c>
    </row>
    <row r="56" spans="1:3" s="72" customFormat="1" ht="13.5" hidden="1" thickBot="1">
      <c r="A56" s="83"/>
      <c r="B56" s="82"/>
      <c r="C56" s="81"/>
    </row>
    <row r="57" spans="1:3" s="72" customFormat="1" hidden="1">
      <c r="A57" s="90"/>
      <c r="B57" s="73"/>
      <c r="C57" s="84"/>
    </row>
    <row r="58" spans="1:3" s="72" customFormat="1" hidden="1">
      <c r="A58" s="89"/>
      <c r="C58" s="84"/>
    </row>
    <row r="59" spans="1:3" s="72" customFormat="1" hidden="1">
      <c r="A59" s="86" t="s">
        <v>149</v>
      </c>
      <c r="B59" s="72">
        <v>0</v>
      </c>
      <c r="C59" s="84"/>
    </row>
    <row r="60" spans="1:3" s="72" customFormat="1" hidden="1">
      <c r="A60" s="86" t="s">
        <v>142</v>
      </c>
      <c r="B60" s="72">
        <v>0</v>
      </c>
      <c r="C60" s="84"/>
    </row>
    <row r="61" spans="1:3" s="72" customFormat="1" hidden="1">
      <c r="A61" s="86" t="s">
        <v>150</v>
      </c>
      <c r="B61" s="72">
        <v>50</v>
      </c>
      <c r="C61" s="84"/>
    </row>
    <row r="62" spans="1:3" s="72" customFormat="1" hidden="1">
      <c r="A62" s="86" t="s">
        <v>151</v>
      </c>
      <c r="B62" s="88">
        <v>0.9</v>
      </c>
      <c r="C62" s="84"/>
    </row>
    <row r="63" spans="1:3" s="72" customFormat="1" hidden="1">
      <c r="A63" s="86" t="s">
        <v>152</v>
      </c>
      <c r="B63" s="87">
        <f>(B59*(52*(B60/12)*B61))*B62</f>
        <v>0</v>
      </c>
      <c r="C63" s="84"/>
    </row>
    <row r="64" spans="1:3" s="72" customFormat="1" hidden="1">
      <c r="A64" s="86" t="s">
        <v>153</v>
      </c>
      <c r="B64" s="97">
        <v>33</v>
      </c>
      <c r="C64" s="84"/>
    </row>
    <row r="65" spans="1:3" s="72" customFormat="1" hidden="1">
      <c r="A65" s="86" t="s">
        <v>143</v>
      </c>
      <c r="B65" s="72">
        <v>1.8</v>
      </c>
      <c r="C65" s="84"/>
    </row>
    <row r="66" spans="1:3" hidden="1">
      <c r="A66" s="85"/>
      <c r="C66" s="102">
        <f>B63*B64*B65</f>
        <v>0</v>
      </c>
    </row>
    <row r="67" spans="1:3" s="72" customFormat="1" ht="13.5" hidden="1" thickBot="1">
      <c r="A67" s="83"/>
      <c r="B67" s="82"/>
      <c r="C67" s="81"/>
    </row>
    <row r="68" spans="1:3" s="72" customFormat="1" hidden="1">
      <c r="A68" s="90"/>
      <c r="B68" s="73"/>
      <c r="C68" s="84"/>
    </row>
    <row r="69" spans="1:3" s="72" customFormat="1" hidden="1">
      <c r="A69" s="89"/>
      <c r="C69" s="84"/>
    </row>
    <row r="70" spans="1:3" s="72" customFormat="1" hidden="1">
      <c r="A70" s="86" t="s">
        <v>149</v>
      </c>
      <c r="B70" s="72">
        <v>0</v>
      </c>
      <c r="C70" s="84"/>
    </row>
    <row r="71" spans="1:3" s="72" customFormat="1" hidden="1">
      <c r="A71" s="86" t="s">
        <v>142</v>
      </c>
      <c r="B71" s="72">
        <v>0</v>
      </c>
      <c r="C71" s="84"/>
    </row>
    <row r="72" spans="1:3" s="72" customFormat="1" hidden="1">
      <c r="A72" s="86" t="s">
        <v>150</v>
      </c>
      <c r="B72" s="72">
        <v>50</v>
      </c>
      <c r="C72" s="84"/>
    </row>
    <row r="73" spans="1:3" s="72" customFormat="1" hidden="1">
      <c r="A73" s="86" t="s">
        <v>151</v>
      </c>
      <c r="B73" s="88">
        <v>0.9</v>
      </c>
      <c r="C73" s="84"/>
    </row>
    <row r="74" spans="1:3" s="72" customFormat="1" hidden="1">
      <c r="A74" s="86" t="s">
        <v>152</v>
      </c>
      <c r="B74" s="87">
        <f>(B70*(52*(B71/12)*B72))*B73</f>
        <v>0</v>
      </c>
      <c r="C74" s="84"/>
    </row>
    <row r="75" spans="1:3" s="72" customFormat="1" hidden="1">
      <c r="A75" s="86" t="s">
        <v>153</v>
      </c>
      <c r="B75" s="97">
        <v>33</v>
      </c>
      <c r="C75" s="84"/>
    </row>
    <row r="76" spans="1:3" s="72" customFormat="1" hidden="1">
      <c r="A76" s="86" t="s">
        <v>143</v>
      </c>
      <c r="B76" s="72">
        <v>1.8</v>
      </c>
      <c r="C76" s="84"/>
    </row>
    <row r="77" spans="1:3" hidden="1">
      <c r="A77" s="85"/>
      <c r="C77" s="102">
        <f>B74*B75*B76</f>
        <v>0</v>
      </c>
    </row>
    <row r="78" spans="1:3" s="72" customFormat="1" ht="13.5" hidden="1" thickBot="1">
      <c r="A78" s="83"/>
      <c r="B78" s="82"/>
      <c r="C78" s="81"/>
    </row>
    <row r="79" spans="1:3" s="72" customFormat="1" ht="13.5" thickBot="1">
      <c r="A79" s="80" t="s">
        <v>27</v>
      </c>
      <c r="B79" s="79"/>
      <c r="C79" s="103">
        <f>SUM(C2:C78)</f>
        <v>0</v>
      </c>
    </row>
    <row r="80" spans="1:3" s="72" customFormat="1" ht="13.5" thickBot="1">
      <c r="A80" s="78" t="s">
        <v>154</v>
      </c>
      <c r="B80" s="77"/>
      <c r="C80" s="104">
        <f>B74+B63+B52+B41+B30+B19+B8</f>
        <v>0</v>
      </c>
    </row>
    <row r="81" spans="1:5" ht="13.5" thickBot="1">
      <c r="A81" s="76" t="s">
        <v>156</v>
      </c>
      <c r="B81" s="75"/>
      <c r="C81" s="105">
        <f>AVERAGE(B75,B64,B53,B42,B31,B20,B9)</f>
        <v>32.177142857142861</v>
      </c>
      <c r="E81" s="72"/>
    </row>
    <row r="82" spans="1:5" s="72" customFormat="1">
      <c r="A82" s="74"/>
    </row>
    <row r="85" spans="1:5" s="72" customFormat="1"/>
    <row r="86" spans="1:5" s="72" customFormat="1">
      <c r="A86" s="74"/>
      <c r="B86" s="73"/>
    </row>
  </sheetData>
  <printOptions gridLines="1"/>
  <pageMargins left="0.41" right="0.39" top="1.0900000000000001" bottom="0.47" header="0.17" footer="0.17"/>
  <pageSetup orientation="portrait" r:id="rId1"/>
  <headerFooter alignWithMargins="0">
    <oddHeader>&amp;C&amp;"Arial,Bold"&amp;11The Hydaker Wheatlake Co
2018 Budget
&amp;A&amp;R&amp;"Arial,Bold"&amp;8&amp;F
&amp;D
&amp;T</oddHeader>
    <oddFooter>&amp;R&amp;A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9EB601B79C8A47B0C97E701046AAFA" ma:contentTypeVersion="5" ma:contentTypeDescription="Create a new document." ma:contentTypeScope="" ma:versionID="5a9e2fd72c9bff9c5f6eadb617ee08b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47c09d6d309ad2cdefb656f5204f8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Project Nam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48BDA0-66B8-4EA5-902E-52DD0D0C9D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B0D47C-B6A5-44C7-AB29-83F379BDB6BA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C90DC5E-EBD2-4F6D-AF94-8B3840D4A6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Key Assumptions</vt:lpstr>
      <vt:lpstr>CVRIS</vt:lpstr>
      <vt:lpstr>CVRBS</vt:lpstr>
      <vt:lpstr>CVRSCF</vt:lpstr>
      <vt:lpstr>Labor</vt:lpstr>
      <vt:lpstr>Operating Exp</vt:lpstr>
      <vt:lpstr>Corp OH Alloc &amp; Interest Exp</vt:lpstr>
      <vt:lpstr>06-60 EPC</vt:lpstr>
      <vt:lpstr>Labor Rates-DP</vt:lpstr>
      <vt:lpstr>Revenue and Direct Lbr</vt:lpstr>
      <vt:lpstr>WIP &amp; AP</vt:lpstr>
      <vt:lpstr>AR Turns</vt:lpstr>
      <vt:lpstr>06-40 ITC Ware</vt:lpstr>
      <vt:lpstr>ALL</vt:lpstr>
      <vt:lpstr>CVRBS!Print_Area</vt:lpstr>
      <vt:lpstr>CVRIS!Print_Area</vt:lpstr>
      <vt:lpstr>'Operating Exp'!Print_Area</vt:lpstr>
      <vt:lpstr>'Revenue and Direct Lbr'!Print_Area</vt:lpstr>
      <vt:lpstr>Print_Area</vt:lpstr>
      <vt:lpstr>PRINT_AREA_MI</vt:lpstr>
      <vt:lpstr>CVRBS!Print_Titles</vt:lpstr>
      <vt:lpstr>CVRIS!Print_Titles</vt:lpstr>
      <vt:lpstr>'Revenue and Direct Lbr'!Print_Titles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Chuck Holmquist</dc:creator>
  <cp:lastModifiedBy>Mike Skukalek</cp:lastModifiedBy>
  <cp:lastPrinted>2026-05-18T19:09:21Z</cp:lastPrinted>
  <dcterms:created xsi:type="dcterms:W3CDTF">1997-11-26T13:45:29Z</dcterms:created>
  <dcterms:modified xsi:type="dcterms:W3CDTF">2026-05-18T19:09:36Z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0x010100189EB601B79C8A47B0C97E701046AAFA</vt:lpwstr>
  </property>
</Properties>
</file>